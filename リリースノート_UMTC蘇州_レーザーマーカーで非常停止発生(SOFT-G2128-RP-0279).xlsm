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defaultThemeVersion="202300"/>
  <mc:AlternateContent xmlns:mc="http://schemas.openxmlformats.org/markup-compatibility/2006">
    <mc:Choice Requires="x15">
      <x15ac:absPath xmlns:x15ac="http://schemas.microsoft.com/office/spreadsheetml/2010/11/ac" url="D:\@USER\UMTC蘇州\G2128\"/>
    </mc:Choice>
  </mc:AlternateContent>
  <xr:revisionPtr revIDLastSave="0" documentId="13_ncr:1_{35BEF552-A198-4055-BF9B-0227C538B81E}" xr6:coauthVersionLast="47" xr6:coauthVersionMax="47" xr10:uidLastSave="{00000000-0000-0000-0000-000000000000}"/>
  <bookViews>
    <workbookView xWindow="-120" yWindow="-120" windowWidth="29040" windowHeight="15720" xr2:uid="{C1E72047-598A-490B-BEF8-5B0063EE64A0}"/>
  </bookViews>
  <sheets>
    <sheet name="リリースノート" sheetId="3" r:id="rId1"/>
    <sheet name="変更連絡書" sheetId="2" r:id="rId2"/>
  </sheets>
  <functionGroups builtInGroupCount="19"/>
  <externalReferences>
    <externalReference r:id="rId3"/>
    <externalReference r:id="rId4"/>
  </externalReferences>
  <definedNames>
    <definedName name="inout" localSheetId="1">#REF!</definedName>
    <definedName name="inout">#REF!</definedName>
    <definedName name="_xlnm.Print_Area" localSheetId="0">リリースノート!$B$1:$BR$43</definedName>
    <definedName name="_xlnm.Print_Area" localSheetId="1">変更連絡書!$A$1:$K$35</definedName>
    <definedName name="ﾀｲﾄﾙ行" localSheetId="1">#REF!</definedName>
    <definedName name="ﾀｲﾄﾙ行">#REF!</definedName>
    <definedName name="ﾀｲﾐﾝｸﾞﾁｬｰﾄ" localSheetId="1">'[2]入力出力（本体部）'!#REF!</definedName>
    <definedName name="ﾀｲﾐﾝｸﾞﾁｬｰﾄ">'[2]入力出力（本体部）'!#REF!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K29" i="3" l="1"/>
  <c r="BG29" i="3"/>
  <c r="BC10" i="3"/>
  <c r="BD9" i="3"/>
  <c r="BB8" i="3"/>
  <c r="A21" i="2" l="1"/>
  <c r="H2" i="2"/>
  <c r="A2" i="2"/>
  <c r="A20"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a.hirao</author>
  </authors>
  <commentList>
    <comment ref="C3" authorId="0" shapeId="0" xr:uid="{61CDF31B-C6C8-4F0D-A8BD-BDE127A91ABA}">
      <text>
        <r>
          <rPr>
            <b/>
            <sz val="9"/>
            <color indexed="81"/>
            <rFont val="ＭＳ Ｐゴシック"/>
            <family val="3"/>
            <charset val="128"/>
          </rPr>
          <t>どこ向けかを記載します。</t>
        </r>
      </text>
    </comment>
    <comment ref="C4" authorId="0" shapeId="0" xr:uid="{FF323C4A-A2DC-467C-889F-3011BF0C7AB7}">
      <text>
        <r>
          <rPr>
            <b/>
            <sz val="9"/>
            <color indexed="81"/>
            <rFont val="ＭＳ Ｐゴシック"/>
            <family val="3"/>
            <charset val="128"/>
          </rPr>
          <t>機種名を記載します。</t>
        </r>
      </text>
    </comment>
    <comment ref="C5" authorId="0" shapeId="0" xr:uid="{D7189994-FBD5-4CA1-B675-18BBB8D2437D}">
      <text>
        <r>
          <rPr>
            <b/>
            <sz val="9"/>
            <color indexed="81"/>
            <rFont val="ＭＳ Ｐゴシック"/>
            <family val="3"/>
            <charset val="128"/>
          </rPr>
          <t>機種名や対応を記載します。</t>
        </r>
      </text>
    </comment>
    <comment ref="C8" authorId="0" shapeId="0" xr:uid="{A920B03E-4C87-47BC-ABA5-8B5C26247523}">
      <text>
        <r>
          <rPr>
            <b/>
            <sz val="9"/>
            <color indexed="81"/>
            <rFont val="ＭＳ Ｐゴシック"/>
            <family val="3"/>
            <charset val="128"/>
          </rPr>
          <t>対応の目的を記載します。</t>
        </r>
      </text>
    </comment>
  </commentList>
</comments>
</file>

<file path=xl/sharedStrings.xml><?xml version="1.0" encoding="utf-8"?>
<sst xmlns="http://schemas.openxmlformats.org/spreadsheetml/2006/main" count="99" uniqueCount="81">
  <si>
    <t>ニデックアドバンステクノロジー株式会社</t>
    <rPh sb="15" eb="19">
      <t>カブシキガイシャ</t>
    </rPh>
    <phoneticPr fontId="6"/>
  </si>
  <si>
    <t>技術開発本部</t>
    <rPh sb="0" eb="4">
      <t>ギジュツカイハツ</t>
    </rPh>
    <rPh sb="4" eb="6">
      <t>ホンブ</t>
    </rPh>
    <phoneticPr fontId="6"/>
  </si>
  <si>
    <t>ソフトウェア 変更連絡書</t>
    <rPh sb="7" eb="9">
      <t>ヘンコウ</t>
    </rPh>
    <rPh sb="9" eb="12">
      <t>レンラクショ</t>
    </rPh>
    <phoneticPr fontId="6"/>
  </si>
  <si>
    <t>平素より格別のご高配を賜り、厚く御礼申し上げます。</t>
    <phoneticPr fontId="6"/>
  </si>
  <si>
    <t>この度は、ソフトウェアの不具合によりご迷惑をおかけいたしましたことお詫び申し上げます。</t>
    <rPh sb="2" eb="3">
      <t>タビ</t>
    </rPh>
    <rPh sb="12" eb="15">
      <t>フグアイ</t>
    </rPh>
    <rPh sb="19" eb="21">
      <t>メイワク</t>
    </rPh>
    <rPh sb="34" eb="35">
      <t>ワ</t>
    </rPh>
    <rPh sb="36" eb="37">
      <t>モウ</t>
    </rPh>
    <rPh sb="38" eb="39">
      <t>ア</t>
    </rPh>
    <phoneticPr fontId="6"/>
  </si>
  <si>
    <t>添付のソフトウェア出荷承認書の通り、症状の確認、原因究明、対策を行いましたのでご報告いたします。</t>
    <rPh sb="0" eb="2">
      <t>テンプ</t>
    </rPh>
    <rPh sb="15" eb="16">
      <t>トオ</t>
    </rPh>
    <rPh sb="18" eb="20">
      <t>ショウジョウ</t>
    </rPh>
    <rPh sb="21" eb="23">
      <t>カクニン</t>
    </rPh>
    <rPh sb="24" eb="26">
      <t>ゲンイン</t>
    </rPh>
    <rPh sb="26" eb="28">
      <t>キュウメイ</t>
    </rPh>
    <rPh sb="29" eb="31">
      <t>タイサク</t>
    </rPh>
    <rPh sb="32" eb="33">
      <t>オコナ</t>
    </rPh>
    <rPh sb="40" eb="42">
      <t>ホウコク</t>
    </rPh>
    <phoneticPr fontId="6"/>
  </si>
  <si>
    <t>ソフトウェア変更のご承認をお願いいたします。</t>
    <rPh sb="6" eb="8">
      <t>ヘンコウ</t>
    </rPh>
    <rPh sb="10" eb="12">
      <t>ショウニン</t>
    </rPh>
    <rPh sb="14" eb="15">
      <t>ネガ</t>
    </rPh>
    <phoneticPr fontId="6"/>
  </si>
  <si>
    <t>詳細は添付【リリースノート】をご参照ください。</t>
    <phoneticPr fontId="6"/>
  </si>
  <si>
    <t>なお原因追及をもとにソフトを修正し机上での動作確認を行いました。</t>
    <phoneticPr fontId="6"/>
  </si>
  <si>
    <t>しかしながら、お客様の実使用環境と全く同じ環境を作り出すのが難しく、</t>
  </si>
  <si>
    <t>今回のソフト修正はある程度の数量確認が必要と考えております。</t>
    <phoneticPr fontId="6"/>
  </si>
  <si>
    <t>当ソフトをリリースいたしますので実機にて実使用を頂き、動作の確認をさせていただきたく、</t>
    <phoneticPr fontId="6"/>
  </si>
  <si>
    <t>ご協力のほどお願いします。</t>
    <phoneticPr fontId="6"/>
  </si>
  <si>
    <t>なお、初期流動時には弊社立ち合いをご許可いただき、初期流動確認の時間を頂戴いたしたく考えます。</t>
    <rPh sb="10" eb="12">
      <t>ヘイシャ</t>
    </rPh>
    <rPh sb="29" eb="31">
      <t>カクニン</t>
    </rPh>
    <phoneticPr fontId="6"/>
  </si>
  <si>
    <t>貴社ご担当者様と共に改善を確認し、ご承認を頂いたのち、他装置に横展開いたします。</t>
    <rPh sb="0" eb="2">
      <t>キシャ</t>
    </rPh>
    <rPh sb="3" eb="6">
      <t>タントウシャ</t>
    </rPh>
    <rPh sb="6" eb="7">
      <t>サマ</t>
    </rPh>
    <rPh sb="8" eb="9">
      <t>トモ</t>
    </rPh>
    <rPh sb="10" eb="12">
      <t>カイゼン</t>
    </rPh>
    <rPh sb="13" eb="15">
      <t>カクニン</t>
    </rPh>
    <rPh sb="18" eb="20">
      <t>ショウニン</t>
    </rPh>
    <rPh sb="21" eb="22">
      <t>イタダ</t>
    </rPh>
    <rPh sb="27" eb="28">
      <t>タ</t>
    </rPh>
    <rPh sb="28" eb="30">
      <t>ソウチ</t>
    </rPh>
    <rPh sb="31" eb="32">
      <t>ヨコ</t>
    </rPh>
    <rPh sb="32" eb="34">
      <t>テンカイ</t>
    </rPh>
    <phoneticPr fontId="6"/>
  </si>
  <si>
    <t>以上</t>
    <rPh sb="0" eb="2">
      <t>イジョウ</t>
    </rPh>
    <phoneticPr fontId="6"/>
  </si>
  <si>
    <t>ソフトウェアリリースノート</t>
    <phoneticPr fontId="2"/>
  </si>
  <si>
    <t>SOFT-G2128-RP-0279</t>
    <phoneticPr fontId="2"/>
  </si>
  <si>
    <t>顧客</t>
    <rPh sb="0" eb="2">
      <t>コキャク</t>
    </rPh>
    <phoneticPr fontId="9"/>
  </si>
  <si>
    <t>UMTC蘇州</t>
    <phoneticPr fontId="2"/>
  </si>
  <si>
    <t>装置</t>
    <rPh sb="0" eb="2">
      <t>ソウチ</t>
    </rPh>
    <phoneticPr fontId="9"/>
  </si>
  <si>
    <t>G2128</t>
    <phoneticPr fontId="2"/>
  </si>
  <si>
    <t>対象装置No.</t>
    <rPh sb="0" eb="2">
      <t>タイショウ</t>
    </rPh>
    <rPh sb="2" eb="4">
      <t>ソウチ</t>
    </rPh>
    <phoneticPr fontId="9"/>
  </si>
  <si>
    <t>リリース日</t>
    <rPh sb="4" eb="5">
      <t>ビ</t>
    </rPh>
    <phoneticPr fontId="9"/>
  </si>
  <si>
    <t>製番</t>
    <rPh sb="0" eb="2">
      <t>セイバン</t>
    </rPh>
    <phoneticPr fontId="2"/>
  </si>
  <si>
    <t>AJ006168</t>
    <phoneticPr fontId="2"/>
  </si>
  <si>
    <t>概要</t>
    <rPh sb="0" eb="2">
      <t>ガイヨウ</t>
    </rPh>
    <phoneticPr fontId="9"/>
  </si>
  <si>
    <t>レーザーマーカーで非常停止発生</t>
    <phoneticPr fontId="2"/>
  </si>
  <si>
    <t>装置名</t>
  </si>
  <si>
    <t>詳細</t>
    <rPh sb="0" eb="2">
      <t>ショウサイ</t>
    </rPh>
    <phoneticPr fontId="9"/>
  </si>
  <si>
    <t>【背景】
【目的と適用範囲】
【内容】
【効果】
【Diff結果】</t>
    <phoneticPr fontId="2"/>
  </si>
  <si>
    <t>ソフトウェアVer</t>
    <phoneticPr fontId="2"/>
  </si>
  <si>
    <t>客先名</t>
    <phoneticPr fontId="2"/>
  </si>
  <si>
    <t>特記事項</t>
    <rPh sb="0" eb="2">
      <t>トッキ</t>
    </rPh>
    <rPh sb="2" eb="4">
      <t>ジコウ</t>
    </rPh>
    <phoneticPr fontId="9"/>
  </si>
  <si>
    <r>
      <t xml:space="preserve">XXに注意。
</t>
    </r>
    <r>
      <rPr>
        <sz val="11"/>
        <rFont val="ＭＳ Ｐゴシック"/>
        <family val="3"/>
        <charset val="128"/>
      </rPr>
      <t>カスタム設定の変更は不要。</t>
    </r>
    <rPh sb="3" eb="5">
      <t>チュウイ</t>
    </rPh>
    <rPh sb="11" eb="13">
      <t>セッテイ</t>
    </rPh>
    <rPh sb="14" eb="16">
      <t>ヘンコウ</t>
    </rPh>
    <rPh sb="17" eb="19">
      <t>フヨウ</t>
    </rPh>
    <phoneticPr fontId="2"/>
  </si>
  <si>
    <t>装置出荷有
（リピート）</t>
    <rPh sb="0" eb="2">
      <t>ソウチ</t>
    </rPh>
    <rPh sb="2" eb="4">
      <t>シュッカ</t>
    </rPh>
    <rPh sb="4" eb="5">
      <t>ア</t>
    </rPh>
    <phoneticPr fontId="2"/>
  </si>
  <si>
    <t>装置出荷有
（改造有り）</t>
    <rPh sb="0" eb="2">
      <t>ソウチ</t>
    </rPh>
    <rPh sb="2" eb="4">
      <t>シュッカ</t>
    </rPh>
    <rPh sb="4" eb="5">
      <t>アリ</t>
    </rPh>
    <rPh sb="7" eb="9">
      <t>カイゾウ</t>
    </rPh>
    <rPh sb="9" eb="10">
      <t>ア</t>
    </rPh>
    <phoneticPr fontId="2"/>
  </si>
  <si>
    <t>装置出荷無</t>
    <rPh sb="4" eb="5">
      <t>ナ</t>
    </rPh>
    <phoneticPr fontId="2"/>
  </si>
  <si>
    <t>内容</t>
    <phoneticPr fontId="2"/>
  </si>
  <si>
    <t>拠点→
客先</t>
    <rPh sb="0" eb="2">
      <t>キョテン</t>
    </rPh>
    <rPh sb="4" eb="6">
      <t>キャクサキ</t>
    </rPh>
    <phoneticPr fontId="2"/>
  </si>
  <si>
    <t>NRCJ→
客先</t>
    <rPh sb="6" eb="8">
      <t>キャクサキ</t>
    </rPh>
    <phoneticPr fontId="2"/>
  </si>
  <si>
    <t>ソフトリリースのみ</t>
    <phoneticPr fontId="2"/>
  </si>
  <si>
    <t>管理番号</t>
    <rPh sb="0" eb="2">
      <t>カンリ</t>
    </rPh>
    <rPh sb="2" eb="4">
      <t>バンゴウ</t>
    </rPh>
    <phoneticPr fontId="9"/>
  </si>
  <si>
    <t>#69777</t>
    <phoneticPr fontId="2"/>
  </si>
  <si>
    <t>各工程のDRを実施し、DR票が承認されている</t>
    <rPh sb="0" eb="1">
      <t>カク</t>
    </rPh>
    <rPh sb="1" eb="3">
      <t>コウテイ</t>
    </rPh>
    <rPh sb="7" eb="9">
      <t>ジッシ</t>
    </rPh>
    <rPh sb="13" eb="14">
      <t>ヒョウ</t>
    </rPh>
    <rPh sb="15" eb="17">
      <t>ショウニン</t>
    </rPh>
    <phoneticPr fontId="2"/>
  </si>
  <si>
    <t>PCLの全テスト項目が完了し、合格している</t>
    <phoneticPr fontId="2"/>
  </si>
  <si>
    <t xml:space="preserve"> </t>
    <phoneticPr fontId="2"/>
  </si>
  <si>
    <t>種類</t>
    <rPh sb="0" eb="2">
      <t>シュルイ</t>
    </rPh>
    <phoneticPr fontId="9"/>
  </si>
  <si>
    <t>バージョン情報</t>
    <rPh sb="5" eb="7">
      <t>ジョウホウ</t>
    </rPh>
    <phoneticPr fontId="2"/>
  </si>
  <si>
    <t>リリースノートが作成され、承認されている</t>
    <phoneticPr fontId="2"/>
  </si>
  <si>
    <t>制御ソフト</t>
    <rPh sb="0" eb="2">
      <t>セイギョ</t>
    </rPh>
    <phoneticPr fontId="9"/>
  </si>
  <si>
    <t>3.19.3.6</t>
    <phoneticPr fontId="2"/>
  </si>
  <si>
    <t>ソフトウェア出荷記録票が作成され、承認されている</t>
    <rPh sb="6" eb="8">
      <t>シュッカ</t>
    </rPh>
    <rPh sb="8" eb="11">
      <t>キロクヒョウ</t>
    </rPh>
    <rPh sb="12" eb="14">
      <t>サクセイ</t>
    </rPh>
    <rPh sb="17" eb="19">
      <t>ショウニン</t>
    </rPh>
    <phoneticPr fontId="2"/>
  </si>
  <si>
    <t>ReadLogdll</t>
    <phoneticPr fontId="9"/>
  </si>
  <si>
    <t>変更なし</t>
    <phoneticPr fontId="2"/>
  </si>
  <si>
    <t>システム構成チェックシート(制御PCオプション表)を全項目確認している</t>
    <rPh sb="4" eb="6">
      <t>コウセイ</t>
    </rPh>
    <rPh sb="14" eb="16">
      <t>セイギョ</t>
    </rPh>
    <rPh sb="23" eb="24">
      <t>ヒョウ</t>
    </rPh>
    <rPh sb="26" eb="29">
      <t>ゼンコウモク</t>
    </rPh>
    <rPh sb="29" eb="31">
      <t>カクニン</t>
    </rPh>
    <phoneticPr fontId="2"/>
  </si>
  <si>
    <t>言語dll</t>
    <phoneticPr fontId="9"/>
  </si>
  <si>
    <t>ソフト出荷チェックシートに基づき出荷前の確認を行っている</t>
    <rPh sb="3" eb="5">
      <t>シュッカ</t>
    </rPh>
    <rPh sb="13" eb="14">
      <t>モト</t>
    </rPh>
    <rPh sb="16" eb="18">
      <t>シュッカ</t>
    </rPh>
    <rPh sb="18" eb="19">
      <t>マエ</t>
    </rPh>
    <rPh sb="20" eb="22">
      <t>カクニン</t>
    </rPh>
    <rPh sb="23" eb="24">
      <t>オコナ</t>
    </rPh>
    <phoneticPr fontId="2"/>
  </si>
  <si>
    <t>アライナー</t>
    <phoneticPr fontId="9"/>
  </si>
  <si>
    <t>リリース物格納先</t>
    <rPh sb="4" eb="5">
      <t>ブツ</t>
    </rPh>
    <rPh sb="5" eb="7">
      <t>カクノウ</t>
    </rPh>
    <rPh sb="7" eb="8">
      <t>サキ</t>
    </rPh>
    <phoneticPr fontId="2"/>
  </si>
  <si>
    <t>テスター</t>
    <phoneticPr fontId="9"/>
  </si>
  <si>
    <t>D:\@USER\UMTC蘇州\G2128</t>
    <phoneticPr fontId="2"/>
  </si>
  <si>
    <t>メインPLC</t>
    <phoneticPr fontId="9"/>
  </si>
  <si>
    <t>LD-PLC</t>
    <phoneticPr fontId="9"/>
  </si>
  <si>
    <t>ULD-PLC</t>
    <phoneticPr fontId="9"/>
  </si>
  <si>
    <t>LMPC</t>
    <phoneticPr fontId="9"/>
  </si>
  <si>
    <t>NGPinMap</t>
    <phoneticPr fontId="9"/>
  </si>
  <si>
    <t>品質保証部</t>
    <rPh sb="0" eb="2">
      <t>ヒンシツ</t>
    </rPh>
    <rPh sb="2" eb="4">
      <t>ホショウ</t>
    </rPh>
    <rPh sb="4" eb="5">
      <t>ブ</t>
    </rPh>
    <phoneticPr fontId="2"/>
  </si>
  <si>
    <t>検査チーム</t>
    <rPh sb="0" eb="2">
      <t>ケンサ</t>
    </rPh>
    <phoneticPr fontId="2"/>
  </si>
  <si>
    <t>技術開発本部</t>
    <rPh sb="0" eb="2">
      <t>ギジュツ</t>
    </rPh>
    <rPh sb="2" eb="4">
      <t>カイハツ</t>
    </rPh>
    <rPh sb="4" eb="5">
      <t>ホン</t>
    </rPh>
    <phoneticPr fontId="2"/>
  </si>
  <si>
    <t>Insight Explorer</t>
    <phoneticPr fontId="9"/>
  </si>
  <si>
    <t>承認</t>
    <rPh sb="0" eb="2">
      <t>ショウニン</t>
    </rPh>
    <phoneticPr fontId="2"/>
  </si>
  <si>
    <t>担当</t>
    <rPh sb="0" eb="2">
      <t>タントウ</t>
    </rPh>
    <phoneticPr fontId="2"/>
  </si>
  <si>
    <t>検査</t>
    <phoneticPr fontId="2"/>
  </si>
  <si>
    <t>顧客固有ソフト</t>
    <phoneticPr fontId="9"/>
  </si>
  <si>
    <t>仕様書番号</t>
    <rPh sb="0" eb="3">
      <t>シヨウショ</t>
    </rPh>
    <rPh sb="3" eb="5">
      <t>バンゴウ</t>
    </rPh>
    <phoneticPr fontId="9"/>
  </si>
  <si>
    <t>中岩</t>
    <rPh sb="0" eb="2">
      <t>ナカイワ</t>
    </rPh>
    <phoneticPr fontId="2"/>
  </si>
  <si>
    <t>末満</t>
    <phoneticPr fontId="2"/>
  </si>
  <si>
    <t>作成</t>
    <rPh sb="0" eb="2">
      <t>サクセイ</t>
    </rPh>
    <phoneticPr fontId="9"/>
  </si>
  <si>
    <t>審査</t>
    <rPh sb="0" eb="2">
      <t>シンサ</t>
    </rPh>
    <phoneticPr fontId="9"/>
  </si>
  <si>
    <t>承認</t>
    <rPh sb="0" eb="2">
      <t>ショウニン</t>
    </rPh>
    <phoneticPr fontId="9"/>
  </si>
</sst>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quot;年&quot;m&quot;月&quot;d&quot;日&quot;;@"/>
  </numFmts>
  <fonts count="19" x14ac:knownFonts="1">
    <font>
      <sz val="11"/>
      <color theme="1"/>
      <name val="游ゴシック"/>
      <family val="2"/>
      <charset val="128"/>
      <scheme val="minor"/>
    </font>
    <font>
      <sz val="11"/>
      <color theme="1"/>
      <name val="游ゴシック"/>
      <family val="2"/>
      <charset val="128"/>
      <scheme val="minor"/>
    </font>
    <font>
      <sz val="6"/>
      <name val="游ゴシック"/>
      <family val="2"/>
      <charset val="128"/>
      <scheme val="minor"/>
    </font>
    <font>
      <sz val="10"/>
      <color theme="1"/>
      <name val="ＭＳ ゴシック"/>
      <family val="2"/>
      <charset val="128"/>
    </font>
    <font>
      <sz val="11"/>
      <color theme="1"/>
      <name val="Meiryo UI"/>
      <family val="3"/>
      <charset val="128"/>
    </font>
    <font>
      <sz val="10"/>
      <color theme="1"/>
      <name val="Meiryo UI"/>
      <family val="3"/>
      <charset val="128"/>
    </font>
    <font>
      <sz val="6"/>
      <name val="ＭＳ ゴシック"/>
      <family val="2"/>
      <charset val="128"/>
    </font>
    <font>
      <b/>
      <sz val="22"/>
      <color theme="1"/>
      <name val="Meiryo UI"/>
      <family val="3"/>
      <charset val="128"/>
    </font>
    <font>
      <sz val="11"/>
      <color rgb="FF000000"/>
      <name val="Meiryo UI"/>
      <family val="3"/>
      <charset val="128"/>
    </font>
    <font>
      <sz val="6"/>
      <name val="ＭＳ Ｐゴシック"/>
      <family val="3"/>
      <charset val="128"/>
    </font>
    <font>
      <sz val="11"/>
      <name val="ＭＳ Ｐゴシック"/>
      <family val="3"/>
      <charset val="128"/>
    </font>
    <font>
      <sz val="28"/>
      <color theme="0"/>
      <name val="ＭＳ Ｐゴシック"/>
      <family val="3"/>
      <charset val="128"/>
    </font>
    <font>
      <sz val="11"/>
      <color rgb="FFFF0000"/>
      <name val="ＭＳ Ｐゴシック"/>
      <family val="3"/>
      <charset val="128"/>
    </font>
    <font>
      <sz val="9"/>
      <name val="ＭＳ Ｐゴシック"/>
      <family val="3"/>
      <charset val="128"/>
    </font>
    <font>
      <sz val="10"/>
      <name val="ＭＳ Ｐゴシック"/>
      <family val="3"/>
      <charset val="128"/>
    </font>
    <font>
      <sz val="11"/>
      <color indexed="17"/>
      <name val="ＭＳ Ｐゴシック"/>
      <family val="3"/>
      <charset val="128"/>
    </font>
    <font>
      <sz val="8"/>
      <name val="ＭＳ Ｐゴシック"/>
      <family val="3"/>
      <charset val="128"/>
    </font>
    <font>
      <u/>
      <sz val="6"/>
      <color theme="10"/>
      <name val="游ゴシック"/>
      <family val="2"/>
      <charset val="128"/>
      <scheme val="minor"/>
    </font>
    <font>
      <b/>
      <sz val="9"/>
      <color indexed="81"/>
      <name val="ＭＳ Ｐゴシック"/>
      <family val="3"/>
      <charset val="128"/>
    </font>
  </fonts>
  <fills count="8">
    <fill>
      <patternFill patternType="none"/>
    </fill>
    <fill>
      <patternFill patternType="gray125"/>
    </fill>
    <fill>
      <patternFill patternType="solid">
        <fgColor theme="0"/>
        <bgColor indexed="64"/>
      </patternFill>
    </fill>
    <fill>
      <patternFill patternType="solid">
        <fgColor indexed="42"/>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indexed="42"/>
      </patternFill>
    </fill>
    <fill>
      <patternFill patternType="solid">
        <fgColor rgb="FFCCFFCC"/>
        <bgColor indexed="64"/>
      </patternFill>
    </fill>
  </fills>
  <borders count="38">
    <border>
      <left/>
      <right/>
      <top/>
      <bottom/>
      <diagonal/>
    </border>
    <border>
      <left style="thin">
        <color indexed="64"/>
      </left>
      <right style="thin">
        <color auto="1"/>
      </right>
      <top style="thin">
        <color indexed="64"/>
      </top>
      <bottom style="thin">
        <color indexed="64"/>
      </bottom>
      <diagonal/>
    </border>
    <border>
      <left style="thin">
        <color indexed="64"/>
      </left>
      <right/>
      <top style="thin">
        <color indexed="64"/>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auto="1"/>
      </right>
      <top style="medium">
        <color indexed="64"/>
      </top>
      <bottom style="thin">
        <color auto="1"/>
      </bottom>
      <diagonal/>
    </border>
    <border>
      <left style="thin">
        <color indexed="64"/>
      </left>
      <right style="thin">
        <color auto="1"/>
      </right>
      <top style="medium">
        <color indexed="64"/>
      </top>
      <bottom style="thin">
        <color indexed="64"/>
      </bottom>
      <diagonal/>
    </border>
    <border>
      <left style="thin">
        <color indexed="64"/>
      </left>
      <right style="medium">
        <color indexed="64"/>
      </right>
      <top style="medium">
        <color indexed="64"/>
      </top>
      <bottom style="thin">
        <color auto="1"/>
      </bottom>
      <diagonal/>
    </border>
    <border>
      <left style="thin">
        <color indexed="64"/>
      </left>
      <right style="thin">
        <color indexed="64"/>
      </right>
      <top style="thin">
        <color indexed="64"/>
      </top>
      <bottom/>
      <diagonal/>
    </border>
    <border>
      <left style="medium">
        <color indexed="64"/>
      </left>
      <right style="thin">
        <color auto="1"/>
      </right>
      <top style="thin">
        <color indexed="64"/>
      </top>
      <bottom style="thin">
        <color auto="1"/>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auto="1"/>
      </right>
      <top style="thin">
        <color indexed="64"/>
      </top>
      <bottom style="medium">
        <color indexed="64"/>
      </bottom>
      <diagonal/>
    </border>
    <border>
      <left style="thin">
        <color indexed="64"/>
      </left>
      <right style="thin">
        <color auto="1"/>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diagonalUp="1">
      <left style="thin">
        <color indexed="64"/>
      </left>
      <right/>
      <top style="thin">
        <color indexed="64"/>
      </top>
      <bottom style="thin">
        <color indexed="64"/>
      </bottom>
      <diagonal style="thin">
        <color indexed="64"/>
      </diagonal>
    </border>
    <border diagonalUp="1">
      <left/>
      <right/>
      <top style="thin">
        <color indexed="64"/>
      </top>
      <bottom style="thin">
        <color indexed="64"/>
      </bottom>
      <diagonal style="thin">
        <color indexed="64"/>
      </diagonal>
    </border>
    <border diagonalUp="1">
      <left/>
      <right style="thin">
        <color indexed="64"/>
      </right>
      <top style="thin">
        <color indexed="64"/>
      </top>
      <bottom style="thin">
        <color indexed="64"/>
      </bottom>
      <diagonal style="thin">
        <color indexed="64"/>
      </diagonal>
    </border>
    <border diagonalUp="1">
      <left style="thin">
        <color indexed="64"/>
      </left>
      <right/>
      <top style="thin">
        <color indexed="64"/>
      </top>
      <bottom/>
      <diagonal style="thin">
        <color indexed="64"/>
      </diagonal>
    </border>
    <border diagonalUp="1">
      <left/>
      <right/>
      <top style="thin">
        <color indexed="64"/>
      </top>
      <bottom/>
      <diagonal style="thin">
        <color indexed="64"/>
      </diagonal>
    </border>
    <border diagonalUp="1">
      <left/>
      <right style="thin">
        <color indexed="64"/>
      </right>
      <top style="thin">
        <color indexed="64"/>
      </top>
      <bottom/>
      <diagonal style="thin">
        <color indexed="64"/>
      </diagonal>
    </border>
    <border diagonalUp="1">
      <left style="thin">
        <color indexed="64"/>
      </left>
      <right/>
      <top/>
      <bottom/>
      <diagonal style="thin">
        <color indexed="64"/>
      </diagonal>
    </border>
    <border diagonalUp="1">
      <left/>
      <right/>
      <top/>
      <bottom/>
      <diagonal style="thin">
        <color indexed="64"/>
      </diagonal>
    </border>
    <border diagonalUp="1">
      <left/>
      <right style="thin">
        <color indexed="64"/>
      </right>
      <top/>
      <bottom/>
      <diagonal style="thin">
        <color indexed="64"/>
      </diagonal>
    </border>
    <border diagonalUp="1">
      <left style="thin">
        <color indexed="64"/>
      </left>
      <right/>
      <top/>
      <bottom style="thin">
        <color indexed="64"/>
      </bottom>
      <diagonal style="thin">
        <color indexed="64"/>
      </diagonal>
    </border>
    <border diagonalUp="1">
      <left/>
      <right/>
      <top/>
      <bottom style="thin">
        <color indexed="64"/>
      </bottom>
      <diagonal style="thin">
        <color indexed="64"/>
      </diagonal>
    </border>
    <border diagonalUp="1">
      <left/>
      <right style="thin">
        <color indexed="64"/>
      </right>
      <top/>
      <bottom style="thin">
        <color indexed="64"/>
      </bottom>
      <diagonal style="thin">
        <color indexed="64"/>
      </diagonal>
    </border>
  </borders>
  <cellStyleXfs count="7">
    <xf numFmtId="0" fontId="0" fillId="0" borderId="0">
      <alignment vertical="center"/>
    </xf>
    <xf numFmtId="38" fontId="1" fillId="0" borderId="0" applyFont="0" applyFill="0" applyBorder="0" applyAlignment="0" applyProtection="0">
      <alignment vertical="center"/>
    </xf>
    <xf numFmtId="0" fontId="3" fillId="0" borderId="0">
      <alignment vertical="center"/>
    </xf>
    <xf numFmtId="0" fontId="9" fillId="0" borderId="0" applyNumberFormat="0" applyFill="0" applyBorder="0" applyAlignment="0" applyProtection="0"/>
    <xf numFmtId="0" fontId="10" fillId="0" borderId="0"/>
    <xf numFmtId="0" fontId="15" fillId="6" borderId="0" applyNumberFormat="0" applyBorder="0" applyAlignment="0" applyProtection="0">
      <alignment vertical="center"/>
    </xf>
    <xf numFmtId="0" fontId="17" fillId="0" borderId="0" applyNumberFormat="0" applyFill="0" applyBorder="0" applyAlignment="0" applyProtection="0">
      <alignment vertical="center"/>
    </xf>
  </cellStyleXfs>
  <cellXfs count="172">
    <xf numFmtId="0" fontId="0" fillId="0" borderId="0" xfId="0">
      <alignment vertical="center"/>
    </xf>
    <xf numFmtId="0" fontId="4" fillId="0" borderId="0" xfId="2" applyFont="1" applyAlignment="1">
      <alignment vertical="center" shrinkToFit="1"/>
    </xf>
    <xf numFmtId="0" fontId="3" fillId="0" borderId="0" xfId="2" applyAlignment="1">
      <alignment vertical="center" shrinkToFit="1"/>
    </xf>
    <xf numFmtId="0" fontId="5" fillId="0" borderId="0" xfId="2" applyFont="1">
      <alignment vertical="center"/>
    </xf>
    <xf numFmtId="176" fontId="4" fillId="0" borderId="0" xfId="2" applyNumberFormat="1" applyFont="1" applyAlignment="1">
      <alignment horizontal="left" vertical="center"/>
    </xf>
    <xf numFmtId="0" fontId="4" fillId="0" borderId="0" xfId="2" applyFont="1">
      <alignment vertical="center"/>
    </xf>
    <xf numFmtId="0" fontId="4" fillId="0" borderId="0" xfId="2" applyFont="1" applyAlignment="1">
      <alignment horizontal="left" vertical="center"/>
    </xf>
    <xf numFmtId="0" fontId="7" fillId="0" borderId="0" xfId="2" applyFont="1">
      <alignment vertical="center"/>
    </xf>
    <xf numFmtId="0" fontId="4" fillId="0" borderId="1" xfId="2" applyFont="1" applyBorder="1" applyAlignment="1">
      <alignment horizontal="left" vertical="center"/>
    </xf>
    <xf numFmtId="0" fontId="4" fillId="0" borderId="0" xfId="2" applyFont="1" applyAlignment="1">
      <alignment horizontal="left" vertical="center"/>
    </xf>
    <xf numFmtId="0" fontId="8" fillId="0" borderId="0" xfId="2" applyFont="1" applyAlignment="1">
      <alignment horizontal="left" vertical="center"/>
    </xf>
    <xf numFmtId="0" fontId="4" fillId="0" borderId="0" xfId="2" applyFont="1" applyAlignment="1">
      <alignment horizontal="right" vertical="center"/>
    </xf>
    <xf numFmtId="0" fontId="10" fillId="0" borderId="0" xfId="3" applyFont="1"/>
    <xf numFmtId="0" fontId="10" fillId="0" borderId="0" xfId="3" applyFont="1" applyAlignment="1">
      <alignment horizontal="left"/>
    </xf>
    <xf numFmtId="0" fontId="10" fillId="0" borderId="0" xfId="4"/>
    <xf numFmtId="0" fontId="10" fillId="2" borderId="0" xfId="3" applyFont="1" applyFill="1" applyBorder="1" applyAlignment="1">
      <alignment horizontal="left" vertical="center"/>
    </xf>
    <xf numFmtId="0" fontId="10" fillId="2" borderId="0" xfId="3" applyFont="1" applyFill="1" applyBorder="1" applyAlignment="1" applyProtection="1">
      <alignment horizontal="right" vertical="center"/>
      <protection locked="0"/>
    </xf>
    <xf numFmtId="0" fontId="10" fillId="3" borderId="2" xfId="3" applyFont="1" applyFill="1" applyBorder="1" applyAlignment="1">
      <alignment horizontal="left" vertical="center"/>
    </xf>
    <xf numFmtId="0" fontId="10" fillId="3" borderId="3" xfId="3" applyFont="1" applyFill="1" applyBorder="1" applyAlignment="1">
      <alignment horizontal="left" vertical="center"/>
    </xf>
    <xf numFmtId="0" fontId="10" fillId="3" borderId="4" xfId="3" applyFont="1" applyFill="1" applyBorder="1" applyAlignment="1">
      <alignment horizontal="left" vertical="center"/>
    </xf>
    <xf numFmtId="0" fontId="10" fillId="2" borderId="2" xfId="3" applyFont="1" applyFill="1" applyBorder="1" applyAlignment="1" applyProtection="1">
      <alignment horizontal="left" vertical="center"/>
      <protection locked="0"/>
    </xf>
    <xf numFmtId="0" fontId="10" fillId="2" borderId="3" xfId="3" applyFont="1" applyFill="1" applyBorder="1" applyAlignment="1" applyProtection="1">
      <alignment horizontal="left" vertical="center"/>
      <protection locked="0"/>
    </xf>
    <xf numFmtId="0" fontId="10" fillId="2" borderId="4" xfId="3" applyFont="1" applyFill="1" applyBorder="1" applyAlignment="1" applyProtection="1">
      <alignment horizontal="left" vertical="center"/>
      <protection locked="0"/>
    </xf>
    <xf numFmtId="0" fontId="10" fillId="0" borderId="0" xfId="4" applyAlignment="1">
      <alignment horizontal="center"/>
    </xf>
    <xf numFmtId="14" fontId="10" fillId="2" borderId="2" xfId="3" applyNumberFormat="1" applyFont="1" applyFill="1" applyBorder="1" applyAlignment="1" applyProtection="1">
      <alignment horizontal="left" vertical="center"/>
      <protection locked="0"/>
    </xf>
    <xf numFmtId="14" fontId="10" fillId="2" borderId="2" xfId="3" quotePrefix="1" applyNumberFormat="1" applyFont="1" applyFill="1" applyBorder="1" applyAlignment="1" applyProtection="1">
      <alignment horizontal="left" vertical="center"/>
      <protection locked="0"/>
    </xf>
    <xf numFmtId="14" fontId="10" fillId="2" borderId="3" xfId="3" quotePrefix="1" applyNumberFormat="1" applyFont="1" applyFill="1" applyBorder="1" applyAlignment="1" applyProtection="1">
      <alignment horizontal="left" vertical="center"/>
      <protection locked="0"/>
    </xf>
    <xf numFmtId="14" fontId="10" fillId="2" borderId="4" xfId="3" quotePrefix="1" applyNumberFormat="1" applyFont="1" applyFill="1" applyBorder="1" applyAlignment="1" applyProtection="1">
      <alignment horizontal="left" vertical="center"/>
      <protection locked="0"/>
    </xf>
    <xf numFmtId="14" fontId="10" fillId="2" borderId="2" xfId="3" applyNumberFormat="1" applyFont="1" applyFill="1" applyBorder="1" applyAlignment="1" applyProtection="1">
      <alignment horizontal="left" vertical="center" wrapText="1"/>
      <protection locked="0"/>
    </xf>
    <xf numFmtId="14" fontId="10" fillId="2" borderId="3" xfId="3" applyNumberFormat="1" applyFont="1" applyFill="1" applyBorder="1" applyAlignment="1" applyProtection="1">
      <alignment horizontal="left" vertical="center"/>
      <protection locked="0"/>
    </xf>
    <xf numFmtId="14" fontId="10" fillId="2" borderId="4" xfId="3" applyNumberFormat="1" applyFont="1" applyFill="1" applyBorder="1" applyAlignment="1" applyProtection="1">
      <alignment horizontal="left" vertical="center"/>
      <protection locked="0"/>
    </xf>
    <xf numFmtId="0" fontId="10" fillId="2" borderId="2" xfId="3" applyFont="1" applyFill="1" applyBorder="1" applyAlignment="1" applyProtection="1">
      <alignment horizontal="left" vertical="center" wrapText="1"/>
      <protection locked="0"/>
    </xf>
    <xf numFmtId="0" fontId="10" fillId="2" borderId="3" xfId="3" applyFont="1" applyFill="1" applyBorder="1" applyAlignment="1" applyProtection="1">
      <alignment horizontal="left" vertical="center" wrapText="1"/>
      <protection locked="0"/>
    </xf>
    <xf numFmtId="0" fontId="10" fillId="2" borderId="4" xfId="3" applyFont="1" applyFill="1" applyBorder="1" applyAlignment="1" applyProtection="1">
      <alignment horizontal="left" vertical="center" wrapText="1"/>
      <protection locked="0"/>
    </xf>
    <xf numFmtId="0" fontId="10" fillId="0" borderId="5" xfId="4" applyBorder="1"/>
    <xf numFmtId="0" fontId="10" fillId="3" borderId="6" xfId="3" applyFont="1" applyFill="1" applyBorder="1" applyAlignment="1">
      <alignment horizontal="left" vertical="center"/>
    </xf>
    <xf numFmtId="0" fontId="10" fillId="3" borderId="7" xfId="3" applyFont="1" applyFill="1" applyBorder="1" applyAlignment="1">
      <alignment horizontal="left" vertical="center"/>
    </xf>
    <xf numFmtId="0" fontId="10" fillId="3" borderId="8" xfId="3" applyFont="1" applyFill="1" applyBorder="1" applyAlignment="1">
      <alignment horizontal="left" vertical="center"/>
    </xf>
    <xf numFmtId="0" fontId="10" fillId="2" borderId="6" xfId="3" applyFont="1" applyFill="1" applyBorder="1" applyAlignment="1" applyProtection="1">
      <alignment horizontal="left" vertical="top" wrapText="1"/>
      <protection locked="0"/>
    </xf>
    <xf numFmtId="0" fontId="10" fillId="2" borderId="7" xfId="3" applyFont="1" applyFill="1" applyBorder="1" applyAlignment="1" applyProtection="1">
      <alignment horizontal="left" vertical="top" wrapText="1"/>
      <protection locked="0"/>
    </xf>
    <xf numFmtId="0" fontId="10" fillId="2" borderId="8" xfId="3" applyFont="1" applyFill="1" applyBorder="1" applyAlignment="1" applyProtection="1">
      <alignment horizontal="left" vertical="top" wrapText="1"/>
      <protection locked="0"/>
    </xf>
    <xf numFmtId="0" fontId="10" fillId="3" borderId="9" xfId="3" applyFont="1" applyFill="1" applyBorder="1" applyAlignment="1">
      <alignment horizontal="left" vertical="center"/>
    </xf>
    <xf numFmtId="0" fontId="10" fillId="3" borderId="0" xfId="3" applyFont="1" applyFill="1" applyBorder="1" applyAlignment="1">
      <alignment horizontal="left" vertical="center"/>
    </xf>
    <xf numFmtId="0" fontId="10" fillId="3" borderId="10" xfId="3" applyFont="1" applyFill="1" applyBorder="1" applyAlignment="1">
      <alignment horizontal="left" vertical="center"/>
    </xf>
    <xf numFmtId="0" fontId="10" fillId="2" borderId="9" xfId="3" applyFont="1" applyFill="1" applyBorder="1" applyAlignment="1" applyProtection="1">
      <alignment horizontal="left" vertical="top" wrapText="1"/>
      <protection locked="0"/>
    </xf>
    <xf numFmtId="0" fontId="10" fillId="2" borderId="0" xfId="3" applyFont="1" applyFill="1" applyBorder="1" applyAlignment="1" applyProtection="1">
      <alignment horizontal="left" vertical="top" wrapText="1"/>
      <protection locked="0"/>
    </xf>
    <xf numFmtId="0" fontId="10" fillId="2" borderId="10" xfId="3" applyFont="1" applyFill="1" applyBorder="1" applyAlignment="1" applyProtection="1">
      <alignment horizontal="left" vertical="top" wrapText="1"/>
      <protection locked="0"/>
    </xf>
    <xf numFmtId="0" fontId="10" fillId="0" borderId="3" xfId="4" applyBorder="1"/>
    <xf numFmtId="0" fontId="11" fillId="0" borderId="0" xfId="4" applyFont="1"/>
    <xf numFmtId="0" fontId="10" fillId="0" borderId="7" xfId="4" applyBorder="1"/>
    <xf numFmtId="0" fontId="10" fillId="3" borderId="11" xfId="3" applyFont="1" applyFill="1" applyBorder="1" applyAlignment="1">
      <alignment horizontal="left" vertical="center"/>
    </xf>
    <xf numFmtId="0" fontId="10" fillId="3" borderId="5" xfId="3" applyFont="1" applyFill="1" applyBorder="1" applyAlignment="1">
      <alignment horizontal="left" vertical="center"/>
    </xf>
    <xf numFmtId="0" fontId="10" fillId="3" borderId="12" xfId="3" applyFont="1" applyFill="1" applyBorder="1" applyAlignment="1">
      <alignment horizontal="left" vertical="center"/>
    </xf>
    <xf numFmtId="0" fontId="10" fillId="2" borderId="11" xfId="3" applyFont="1" applyFill="1" applyBorder="1" applyAlignment="1" applyProtection="1">
      <alignment horizontal="left" vertical="top" wrapText="1"/>
      <protection locked="0"/>
    </xf>
    <xf numFmtId="0" fontId="10" fillId="2" borderId="5" xfId="3" applyFont="1" applyFill="1" applyBorder="1" applyAlignment="1" applyProtection="1">
      <alignment horizontal="left" vertical="top" wrapText="1"/>
      <protection locked="0"/>
    </xf>
    <xf numFmtId="0" fontId="10" fillId="2" borderId="12" xfId="3" applyFont="1" applyFill="1" applyBorder="1" applyAlignment="1" applyProtection="1">
      <alignment horizontal="left" vertical="top" wrapText="1"/>
      <protection locked="0"/>
    </xf>
    <xf numFmtId="0" fontId="12" fillId="2" borderId="6" xfId="3" applyFont="1" applyFill="1" applyBorder="1" applyAlignment="1" applyProtection="1">
      <alignment horizontal="left" vertical="top" wrapText="1"/>
      <protection locked="0"/>
    </xf>
    <xf numFmtId="0" fontId="12" fillId="2" borderId="7" xfId="3" applyFont="1" applyFill="1" applyBorder="1" applyAlignment="1" applyProtection="1">
      <alignment horizontal="left" vertical="top" wrapText="1"/>
      <protection locked="0"/>
    </xf>
    <xf numFmtId="0" fontId="12" fillId="2" borderId="8" xfId="3" applyFont="1" applyFill="1" applyBorder="1" applyAlignment="1" applyProtection="1">
      <alignment horizontal="left" vertical="top" wrapText="1"/>
      <protection locked="0"/>
    </xf>
    <xf numFmtId="0" fontId="13" fillId="4" borderId="1" xfId="4" applyFont="1" applyFill="1" applyBorder="1" applyAlignment="1">
      <alignment horizontal="center" wrapText="1"/>
    </xf>
    <xf numFmtId="0" fontId="13" fillId="4" borderId="1" xfId="4" applyFont="1" applyFill="1" applyBorder="1" applyAlignment="1">
      <alignment horizontal="center"/>
    </xf>
    <xf numFmtId="0" fontId="13" fillId="4" borderId="2" xfId="4" applyFont="1" applyFill="1" applyBorder="1" applyAlignment="1">
      <alignment horizontal="center"/>
    </xf>
    <xf numFmtId="0" fontId="13" fillId="4" borderId="13" xfId="4" applyFont="1" applyFill="1" applyBorder="1" applyAlignment="1">
      <alignment horizontal="center"/>
    </xf>
    <xf numFmtId="0" fontId="13" fillId="4" borderId="1" xfId="4" applyFont="1" applyFill="1" applyBorder="1" applyAlignment="1">
      <alignment horizontal="center" vertical="top"/>
    </xf>
    <xf numFmtId="0" fontId="12" fillId="2" borderId="11" xfId="3" applyFont="1" applyFill="1" applyBorder="1" applyAlignment="1" applyProtection="1">
      <alignment horizontal="left" vertical="top" wrapText="1"/>
      <protection locked="0"/>
    </xf>
    <xf numFmtId="0" fontId="12" fillId="2" borderId="5" xfId="3" applyFont="1" applyFill="1" applyBorder="1" applyAlignment="1" applyProtection="1">
      <alignment horizontal="left" vertical="top" wrapText="1"/>
      <protection locked="0"/>
    </xf>
    <xf numFmtId="0" fontId="12" fillId="2" borderId="12" xfId="3" applyFont="1" applyFill="1" applyBorder="1" applyAlignment="1" applyProtection="1">
      <alignment horizontal="left" vertical="top" wrapText="1"/>
      <protection locked="0"/>
    </xf>
    <xf numFmtId="0" fontId="10" fillId="4" borderId="1" xfId="4" applyFill="1" applyBorder="1" applyAlignment="1">
      <alignment vertical="center"/>
    </xf>
    <xf numFmtId="0" fontId="10" fillId="4" borderId="2" xfId="4" applyFill="1" applyBorder="1" applyAlignment="1">
      <alignment vertical="center"/>
    </xf>
    <xf numFmtId="0" fontId="10" fillId="4" borderId="3" xfId="4" applyFill="1" applyBorder="1" applyAlignment="1">
      <alignment vertical="center"/>
    </xf>
    <xf numFmtId="0" fontId="13" fillId="4" borderId="1" xfId="4" applyFont="1" applyFill="1" applyBorder="1" applyAlignment="1">
      <alignment horizontal="center" vertical="center" wrapText="1"/>
    </xf>
    <xf numFmtId="0" fontId="13" fillId="4" borderId="14" xfId="4" applyFont="1" applyFill="1" applyBorder="1" applyAlignment="1">
      <alignment horizontal="center" vertical="center" wrapText="1"/>
    </xf>
    <xf numFmtId="0" fontId="13" fillId="4" borderId="15" xfId="4" applyFont="1" applyFill="1" applyBorder="1" applyAlignment="1">
      <alignment horizontal="center" vertical="center" wrapText="1"/>
    </xf>
    <xf numFmtId="0" fontId="13" fillId="4" borderId="16" xfId="4" applyFont="1" applyFill="1" applyBorder="1" applyAlignment="1">
      <alignment horizontal="center" vertical="center" wrapText="1"/>
    </xf>
    <xf numFmtId="0" fontId="13" fillId="0" borderId="0" xfId="4" applyFont="1" applyAlignment="1">
      <alignment horizontal="center" vertical="center" wrapText="1"/>
    </xf>
    <xf numFmtId="9" fontId="10" fillId="2" borderId="2" xfId="3" applyNumberFormat="1" applyFont="1" applyFill="1" applyBorder="1" applyAlignment="1" applyProtection="1">
      <alignment horizontal="left" vertical="center" wrapText="1"/>
      <protection locked="0"/>
    </xf>
    <xf numFmtId="9" fontId="10" fillId="2" borderId="3" xfId="3" applyNumberFormat="1" applyFont="1" applyFill="1" applyBorder="1" applyAlignment="1" applyProtection="1">
      <alignment horizontal="left" vertical="center" wrapText="1"/>
      <protection locked="0"/>
    </xf>
    <xf numFmtId="9" fontId="10" fillId="2" borderId="4" xfId="3" applyNumberFormat="1" applyFont="1" applyFill="1" applyBorder="1" applyAlignment="1" applyProtection="1">
      <alignment horizontal="left" vertical="center" wrapText="1"/>
      <protection locked="0"/>
    </xf>
    <xf numFmtId="0" fontId="10" fillId="2" borderId="17" xfId="4" applyFill="1" applyBorder="1"/>
    <xf numFmtId="0" fontId="14" fillId="2" borderId="9" xfId="4" applyFont="1" applyFill="1" applyBorder="1"/>
    <xf numFmtId="0" fontId="10" fillId="2" borderId="0" xfId="4" applyFill="1"/>
    <xf numFmtId="0" fontId="10" fillId="0" borderId="1" xfId="4" applyBorder="1" applyAlignment="1">
      <alignment horizontal="center"/>
    </xf>
    <xf numFmtId="0" fontId="10" fillId="0" borderId="18" xfId="4" applyBorder="1" applyAlignment="1">
      <alignment horizontal="center"/>
    </xf>
    <xf numFmtId="0" fontId="10" fillId="0" borderId="13" xfId="4" applyBorder="1" applyAlignment="1">
      <alignment horizontal="center"/>
    </xf>
    <xf numFmtId="0" fontId="10" fillId="2" borderId="0" xfId="3" applyFont="1" applyFill="1"/>
    <xf numFmtId="0" fontId="10" fillId="2" borderId="0" xfId="3" applyFont="1" applyFill="1" applyBorder="1"/>
    <xf numFmtId="0" fontId="10" fillId="2" borderId="0" xfId="3" applyFont="1" applyFill="1" applyBorder="1" applyAlignment="1" applyProtection="1">
      <alignment horizontal="left" vertical="center"/>
      <protection locked="0"/>
    </xf>
    <xf numFmtId="0" fontId="10" fillId="0" borderId="1" xfId="4" applyBorder="1"/>
    <xf numFmtId="0" fontId="14" fillId="0" borderId="2" xfId="4" applyFont="1" applyBorder="1"/>
    <xf numFmtId="0" fontId="10" fillId="5" borderId="1" xfId="4" applyFill="1" applyBorder="1" applyAlignment="1">
      <alignment horizontal="center"/>
    </xf>
    <xf numFmtId="0" fontId="10" fillId="6" borderId="1" xfId="5" applyFont="1" applyBorder="1" applyAlignment="1"/>
    <xf numFmtId="0" fontId="10" fillId="7" borderId="2" xfId="3" applyFont="1" applyFill="1" applyBorder="1"/>
    <xf numFmtId="0" fontId="10" fillId="7" borderId="3" xfId="3" applyFont="1" applyFill="1" applyBorder="1"/>
    <xf numFmtId="0" fontId="10" fillId="7" borderId="4" xfId="3" applyFont="1" applyFill="1" applyBorder="1"/>
    <xf numFmtId="0" fontId="10" fillId="6" borderId="2" xfId="5" applyFont="1" applyBorder="1" applyAlignment="1"/>
    <xf numFmtId="0" fontId="10" fillId="2" borderId="2" xfId="3" applyFont="1" applyFill="1" applyBorder="1" applyAlignment="1">
      <alignment horizontal="left" wrapText="1"/>
    </xf>
    <xf numFmtId="0" fontId="10" fillId="2" borderId="3" xfId="3" applyFont="1" applyFill="1" applyBorder="1" applyAlignment="1">
      <alignment horizontal="left" wrapText="1"/>
    </xf>
    <xf numFmtId="0" fontId="10" fillId="2" borderId="4" xfId="3" applyFont="1" applyFill="1" applyBorder="1" applyAlignment="1">
      <alignment horizontal="left" wrapText="1"/>
    </xf>
    <xf numFmtId="0" fontId="10" fillId="5" borderId="18" xfId="4" applyFill="1" applyBorder="1" applyAlignment="1">
      <alignment horizontal="center"/>
    </xf>
    <xf numFmtId="0" fontId="10" fillId="5" borderId="13" xfId="4" applyFill="1" applyBorder="1" applyAlignment="1">
      <alignment horizontal="center"/>
    </xf>
    <xf numFmtId="0" fontId="10" fillId="2" borderId="2" xfId="3" applyFont="1" applyFill="1" applyBorder="1" applyAlignment="1">
      <alignment horizontal="left"/>
    </xf>
    <xf numFmtId="0" fontId="10" fillId="2" borderId="3" xfId="3" applyFont="1" applyFill="1" applyBorder="1" applyAlignment="1">
      <alignment horizontal="left"/>
    </xf>
    <xf numFmtId="0" fontId="10" fillId="2" borderId="4" xfId="3" applyFont="1" applyFill="1" applyBorder="1" applyAlignment="1">
      <alignment horizontal="left"/>
    </xf>
    <xf numFmtId="0" fontId="16" fillId="0" borderId="2" xfId="4" applyFont="1" applyBorder="1"/>
    <xf numFmtId="0" fontId="10" fillId="0" borderId="17" xfId="4" applyBorder="1"/>
    <xf numFmtId="0" fontId="13" fillId="0" borderId="2" xfId="4" applyFont="1" applyBorder="1"/>
    <xf numFmtId="0" fontId="10" fillId="0" borderId="19" xfId="4" applyBorder="1"/>
    <xf numFmtId="0" fontId="10" fillId="0" borderId="20" xfId="4" applyBorder="1" applyAlignment="1">
      <alignment vertical="top" wrapText="1"/>
    </xf>
    <xf numFmtId="0" fontId="10" fillId="0" borderId="21" xfId="4" applyBorder="1"/>
    <xf numFmtId="0" fontId="17" fillId="0" borderId="9" xfId="6" applyBorder="1" applyAlignment="1">
      <alignment horizontal="left" vertical="top" wrapText="1"/>
    </xf>
    <xf numFmtId="0" fontId="17" fillId="0" borderId="0" xfId="6" applyBorder="1" applyAlignment="1">
      <alignment horizontal="left" vertical="top" wrapText="1"/>
    </xf>
    <xf numFmtId="0" fontId="10" fillId="0" borderId="22" xfId="4" applyBorder="1"/>
    <xf numFmtId="0" fontId="17" fillId="0" borderId="11" xfId="6" applyBorder="1" applyAlignment="1">
      <alignment horizontal="left" vertical="top" wrapText="1"/>
    </xf>
    <xf numFmtId="0" fontId="17" fillId="0" borderId="5" xfId="6" applyBorder="1" applyAlignment="1">
      <alignment horizontal="left" vertical="top" wrapText="1"/>
    </xf>
    <xf numFmtId="0" fontId="10" fillId="0" borderId="23" xfId="4" applyBorder="1" applyAlignment="1">
      <alignment horizontal="center"/>
    </xf>
    <xf numFmtId="0" fontId="10" fillId="0" borderId="24" xfId="4" applyBorder="1" applyAlignment="1">
      <alignment horizontal="center"/>
    </xf>
    <xf numFmtId="0" fontId="10" fillId="0" borderId="25" xfId="4" applyBorder="1" applyAlignment="1">
      <alignment horizontal="center"/>
    </xf>
    <xf numFmtId="14" fontId="10" fillId="0" borderId="0" xfId="4" applyNumberFormat="1" applyAlignment="1">
      <alignment horizontal="center"/>
    </xf>
    <xf numFmtId="0" fontId="10" fillId="0" borderId="0" xfId="4" applyAlignment="1">
      <alignment horizontal="center"/>
    </xf>
    <xf numFmtId="0" fontId="10" fillId="0" borderId="2" xfId="4" applyBorder="1" applyAlignment="1">
      <alignment horizontal="center"/>
    </xf>
    <xf numFmtId="0" fontId="10" fillId="0" borderId="3" xfId="4" applyBorder="1" applyAlignment="1">
      <alignment horizontal="center"/>
    </xf>
    <xf numFmtId="0" fontId="10" fillId="0" borderId="4" xfId="4" applyBorder="1" applyAlignment="1">
      <alignment horizontal="center"/>
    </xf>
    <xf numFmtId="14" fontId="10" fillId="0" borderId="2" xfId="4" applyNumberFormat="1" applyBorder="1" applyAlignment="1">
      <alignment horizontal="center"/>
    </xf>
    <xf numFmtId="14" fontId="10" fillId="0" borderId="3" xfId="4" applyNumberFormat="1" applyBorder="1" applyAlignment="1">
      <alignment horizontal="center"/>
    </xf>
    <xf numFmtId="14" fontId="10" fillId="0" borderId="4" xfId="4" applyNumberFormat="1" applyBorder="1" applyAlignment="1">
      <alignment horizontal="center"/>
    </xf>
    <xf numFmtId="14" fontId="10" fillId="0" borderId="26" xfId="4" applyNumberFormat="1" applyBorder="1" applyAlignment="1">
      <alignment horizontal="center"/>
    </xf>
    <xf numFmtId="0" fontId="10" fillId="0" borderId="27" xfId="4" applyBorder="1" applyAlignment="1">
      <alignment horizontal="center"/>
    </xf>
    <xf numFmtId="0" fontId="10" fillId="0" borderId="28" xfId="4" applyBorder="1" applyAlignment="1">
      <alignment horizontal="center"/>
    </xf>
    <xf numFmtId="14" fontId="10" fillId="0" borderId="9" xfId="1" applyNumberFormat="1" applyFont="1" applyBorder="1" applyAlignment="1">
      <alignment horizontal="center"/>
    </xf>
    <xf numFmtId="14" fontId="10" fillId="0" borderId="0" xfId="1" applyNumberFormat="1" applyFont="1" applyBorder="1" applyAlignment="1">
      <alignment horizontal="center"/>
    </xf>
    <xf numFmtId="14" fontId="10" fillId="0" borderId="10" xfId="1" applyNumberFormat="1" applyFont="1" applyBorder="1" applyAlignment="1">
      <alignment horizontal="center"/>
    </xf>
    <xf numFmtId="14" fontId="10" fillId="0" borderId="0" xfId="1" applyNumberFormat="1" applyFont="1" applyBorder="1" applyAlignment="1">
      <alignment horizontal="center"/>
    </xf>
    <xf numFmtId="0" fontId="10" fillId="2" borderId="2" xfId="3" applyFont="1" applyFill="1" applyBorder="1" applyAlignment="1">
      <alignment horizontal="left" wrapText="1" shrinkToFit="1"/>
    </xf>
    <xf numFmtId="0" fontId="10" fillId="2" borderId="3" xfId="3" applyFont="1" applyFill="1" applyBorder="1" applyAlignment="1">
      <alignment horizontal="left" wrapText="1" shrinkToFit="1"/>
    </xf>
    <xf numFmtId="0" fontId="10" fillId="2" borderId="4" xfId="3" applyFont="1" applyFill="1" applyBorder="1" applyAlignment="1">
      <alignment horizontal="left" wrapText="1" shrinkToFit="1"/>
    </xf>
    <xf numFmtId="14" fontId="10" fillId="0" borderId="6" xfId="4" applyNumberFormat="1" applyBorder="1" applyAlignment="1">
      <alignment horizontal="center" vertical="center"/>
    </xf>
    <xf numFmtId="14" fontId="10" fillId="0" borderId="7" xfId="4" applyNumberFormat="1" applyBorder="1" applyAlignment="1">
      <alignment horizontal="center" vertical="center"/>
    </xf>
    <xf numFmtId="14" fontId="10" fillId="0" borderId="8" xfId="4" applyNumberFormat="1" applyBorder="1" applyAlignment="1">
      <alignment horizontal="center" vertical="center"/>
    </xf>
    <xf numFmtId="14" fontId="10" fillId="0" borderId="29" xfId="4" applyNumberFormat="1" applyBorder="1" applyAlignment="1">
      <alignment horizontal="center" vertical="center"/>
    </xf>
    <xf numFmtId="14" fontId="10" fillId="0" borderId="30" xfId="4" applyNumberFormat="1" applyBorder="1" applyAlignment="1">
      <alignment horizontal="center" vertical="center"/>
    </xf>
    <xf numFmtId="14" fontId="10" fillId="0" borderId="31" xfId="4" applyNumberFormat="1" applyBorder="1" applyAlignment="1">
      <alignment horizontal="center" vertical="center"/>
    </xf>
    <xf numFmtId="14" fontId="10" fillId="0" borderId="0" xfId="4" applyNumberFormat="1" applyAlignment="1">
      <alignment horizontal="center" vertical="center"/>
    </xf>
    <xf numFmtId="0" fontId="10" fillId="0" borderId="0" xfId="5" applyFont="1" applyFill="1" applyBorder="1" applyAlignment="1"/>
    <xf numFmtId="0" fontId="10" fillId="2" borderId="0" xfId="3" applyFont="1" applyFill="1" applyBorder="1" applyAlignment="1">
      <alignment horizontal="left"/>
    </xf>
    <xf numFmtId="14" fontId="10" fillId="0" borderId="9" xfId="4" applyNumberFormat="1" applyBorder="1" applyAlignment="1">
      <alignment horizontal="center" vertical="center"/>
    </xf>
    <xf numFmtId="14" fontId="10" fillId="0" borderId="0" xfId="4" applyNumberFormat="1" applyAlignment="1">
      <alignment horizontal="center" vertical="center"/>
    </xf>
    <xf numFmtId="14" fontId="10" fillId="0" borderId="10" xfId="4" applyNumberFormat="1" applyBorder="1" applyAlignment="1">
      <alignment horizontal="center" vertical="center"/>
    </xf>
    <xf numFmtId="14" fontId="10" fillId="0" borderId="32" xfId="4" applyNumberFormat="1" applyBorder="1" applyAlignment="1">
      <alignment horizontal="center" vertical="center"/>
    </xf>
    <xf numFmtId="14" fontId="10" fillId="0" borderId="33" xfId="4" applyNumberFormat="1" applyBorder="1" applyAlignment="1">
      <alignment horizontal="center" vertical="center"/>
    </xf>
    <xf numFmtId="14" fontId="10" fillId="0" borderId="34" xfId="4" applyNumberFormat="1" applyBorder="1" applyAlignment="1">
      <alignment horizontal="center" vertical="center"/>
    </xf>
    <xf numFmtId="14" fontId="10" fillId="0" borderId="11" xfId="4" applyNumberFormat="1" applyBorder="1" applyAlignment="1">
      <alignment horizontal="center" vertical="center"/>
    </xf>
    <xf numFmtId="14" fontId="10" fillId="0" borderId="5" xfId="4" applyNumberFormat="1" applyBorder="1" applyAlignment="1">
      <alignment horizontal="center" vertical="center"/>
    </xf>
    <xf numFmtId="14" fontId="10" fillId="0" borderId="12" xfId="4" applyNumberFormat="1" applyBorder="1" applyAlignment="1">
      <alignment horizontal="center" vertical="center"/>
    </xf>
    <xf numFmtId="14" fontId="10" fillId="0" borderId="35" xfId="4" applyNumberFormat="1" applyBorder="1" applyAlignment="1">
      <alignment horizontal="center" vertical="center"/>
    </xf>
    <xf numFmtId="14" fontId="10" fillId="0" borderId="36" xfId="4" applyNumberFormat="1" applyBorder="1" applyAlignment="1">
      <alignment horizontal="center" vertical="center"/>
    </xf>
    <xf numFmtId="14" fontId="10" fillId="0" borderId="37" xfId="4" applyNumberFormat="1" applyBorder="1" applyAlignment="1">
      <alignment horizontal="center" vertical="center"/>
    </xf>
    <xf numFmtId="0" fontId="0" fillId="0" borderId="6" xfId="0" applyBorder="1" applyAlignment="1">
      <alignment horizontal="center" vertical="center" wrapText="1"/>
    </xf>
    <xf numFmtId="0" fontId="0" fillId="0" borderId="7" xfId="0" applyBorder="1" applyAlignment="1">
      <alignment horizontal="center" vertical="center"/>
    </xf>
    <xf numFmtId="0" fontId="0" fillId="0" borderId="8" xfId="0" applyBorder="1" applyAlignment="1">
      <alignment horizontal="center" vertical="center"/>
    </xf>
    <xf numFmtId="0" fontId="0" fillId="0" borderId="1" xfId="0" applyBorder="1" applyAlignment="1">
      <alignment horizontal="center" vertical="center"/>
    </xf>
    <xf numFmtId="0" fontId="0" fillId="0" borderId="11" xfId="0" applyBorder="1" applyAlignment="1">
      <alignment horizontal="center" vertical="center"/>
    </xf>
    <xf numFmtId="0" fontId="0" fillId="0" borderId="5" xfId="0" applyBorder="1" applyAlignment="1">
      <alignment horizontal="center" vertical="center"/>
    </xf>
    <xf numFmtId="0" fontId="0" fillId="0" borderId="12" xfId="0" applyBorder="1" applyAlignment="1">
      <alignment horizontal="center" vertical="center"/>
    </xf>
    <xf numFmtId="14" fontId="0" fillId="0" borderId="2" xfId="0" applyNumberFormat="1" applyBorder="1" applyAlignment="1">
      <alignment horizontal="center"/>
    </xf>
    <xf numFmtId="0" fontId="0" fillId="0" borderId="3" xfId="0" applyBorder="1" applyAlignment="1">
      <alignment horizontal="center"/>
    </xf>
    <xf numFmtId="0" fontId="0" fillId="0" borderId="4" xfId="0" applyBorder="1" applyAlignment="1">
      <alignment horizontal="center"/>
    </xf>
    <xf numFmtId="14" fontId="0" fillId="0" borderId="3" xfId="0" applyNumberFormat="1" applyBorder="1" applyAlignment="1">
      <alignment horizontal="center"/>
    </xf>
    <xf numFmtId="14" fontId="0" fillId="0" borderId="4" xfId="0" applyNumberFormat="1" applyBorder="1" applyAlignment="1">
      <alignment horizontal="center"/>
    </xf>
    <xf numFmtId="0" fontId="0" fillId="0" borderId="6" xfId="0" applyBorder="1" applyAlignment="1">
      <alignment horizontal="center" vertical="center"/>
    </xf>
    <xf numFmtId="0" fontId="0" fillId="0" borderId="9" xfId="0" applyBorder="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cellXfs>
  <cellStyles count="7">
    <cellStyle name="サイズ6" xfId="3" xr:uid="{0B254E7C-55B0-49DD-A03F-3D70C4949972}"/>
    <cellStyle name="ハイパーリンク 2" xfId="6" xr:uid="{CE091277-29E9-43A7-AEB5-F84C5B77697C}"/>
    <cellStyle name="桁区切り" xfId="1" builtinId="6"/>
    <cellStyle name="標準" xfId="0" builtinId="0"/>
    <cellStyle name="標準 2" xfId="4" xr:uid="{E94E7CF1-97E3-459A-8175-4EDF5B6FAAE6}"/>
    <cellStyle name="標準 4" xfId="2" xr:uid="{16A21B9E-9AC0-412C-BCBB-CBF45ED11450}"/>
    <cellStyle name="良い 2" xfId="5" xr:uid="{636EF07E-249D-439E-A19A-2D06BAB7274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externalLink" Target="externalLinks/externalLink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2.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oneCellAnchor>
    <xdr:from>
      <xdr:col>49</xdr:col>
      <xdr:colOff>20731</xdr:colOff>
      <xdr:row>3</xdr:row>
      <xdr:rowOff>368672</xdr:rowOff>
    </xdr:from>
    <xdr:ext cx="2719399" cy="425822"/>
    <xdr:sp macro="" textlink="">
      <xdr:nvSpPr>
        <xdr:cNvPr id="2" name="テキスト ボックス 1">
          <a:extLst>
            <a:ext uri="{FF2B5EF4-FFF2-40B4-BE49-F238E27FC236}">
              <a16:creationId xmlns:a16="http://schemas.microsoft.com/office/drawing/2014/main" id="{1C0BC506-E9BB-490E-AD34-DFACAB4EBFA1}"/>
            </a:ext>
          </a:extLst>
        </xdr:cNvPr>
        <xdr:cNvSpPr txBox="1"/>
      </xdr:nvSpPr>
      <xdr:spPr>
        <a:xfrm>
          <a:off x="10364881" y="1140197"/>
          <a:ext cx="2719399" cy="4258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ja-JP" altLang="ja-JP" sz="2000" b="1">
              <a:solidFill>
                <a:schemeClr val="tx1"/>
              </a:solidFill>
              <a:effectLst/>
              <a:latin typeface="+mn-lt"/>
              <a:ea typeface="+mn-ea"/>
              <a:cs typeface="+mn-cs"/>
            </a:rPr>
            <a:t>ソフトウェア出荷承認書</a:t>
          </a:r>
          <a:endParaRPr kumimoji="1" lang="ja-JP" altLang="en-US" sz="2000"/>
        </a:p>
      </xdr:txBody>
    </xdr:sp>
    <xdr:clientData/>
  </xdr:oneCellAnchor>
  <xdr:twoCellAnchor editAs="oneCell">
    <xdr:from>
      <xdr:col>51</xdr:col>
      <xdr:colOff>0</xdr:colOff>
      <xdr:row>0</xdr:row>
      <xdr:rowOff>33618</xdr:rowOff>
    </xdr:from>
    <xdr:to>
      <xdr:col>58</xdr:col>
      <xdr:colOff>203752</xdr:colOff>
      <xdr:row>2</xdr:row>
      <xdr:rowOff>251255</xdr:rowOff>
    </xdr:to>
    <xdr:pic>
      <xdr:nvPicPr>
        <xdr:cNvPr id="3" name="図 2">
          <a:extLst>
            <a:ext uri="{FF2B5EF4-FFF2-40B4-BE49-F238E27FC236}">
              <a16:creationId xmlns:a16="http://schemas.microsoft.com/office/drawing/2014/main" id="{8F81E2E9-2F81-4B9D-9B84-6579B27EDC8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782300" y="33618"/>
          <a:ext cx="1775377" cy="6081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56</xdr:col>
          <xdr:colOff>76200</xdr:colOff>
          <xdr:row>11</xdr:row>
          <xdr:rowOff>19050</xdr:rowOff>
        </xdr:from>
        <xdr:to>
          <xdr:col>61</xdr:col>
          <xdr:colOff>76200</xdr:colOff>
          <xdr:row>11</xdr:row>
          <xdr:rowOff>247650</xdr:rowOff>
        </xdr:to>
        <xdr:sp macro="" textlink="">
          <xdr:nvSpPr>
            <xdr:cNvPr id="2049" name="OBRepeat" hidden="1">
              <a:extLst>
                <a:ext uri="{63B3BB69-23CF-44E3-9099-C40C66FF867C}">
                  <a14:compatExt spid="_x0000_s2049"/>
                </a:ext>
                <a:ext uri="{FF2B5EF4-FFF2-40B4-BE49-F238E27FC236}">
                  <a16:creationId xmlns:a16="http://schemas.microsoft.com/office/drawing/2014/main" id="{15D55594-4A04-4744-8C2E-D41EAF813C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85725</xdr:colOff>
          <xdr:row>11</xdr:row>
          <xdr:rowOff>266700</xdr:rowOff>
        </xdr:from>
        <xdr:to>
          <xdr:col>61</xdr:col>
          <xdr:colOff>171450</xdr:colOff>
          <xdr:row>11</xdr:row>
          <xdr:rowOff>476250</xdr:rowOff>
        </xdr:to>
        <xdr:sp macro="" textlink="">
          <xdr:nvSpPr>
            <xdr:cNvPr id="2050" name="OPModification" hidden="1">
              <a:extLst>
                <a:ext uri="{63B3BB69-23CF-44E3-9099-C40C66FF867C}">
                  <a14:compatExt spid="_x0000_s2050"/>
                </a:ext>
                <a:ext uri="{FF2B5EF4-FFF2-40B4-BE49-F238E27FC236}">
                  <a16:creationId xmlns:a16="http://schemas.microsoft.com/office/drawing/2014/main" id="{3C3AC8FA-995E-4E48-B9F5-AEDF4BB1BED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123825</xdr:colOff>
          <xdr:row>11</xdr:row>
          <xdr:rowOff>28575</xdr:rowOff>
        </xdr:from>
        <xdr:to>
          <xdr:col>55</xdr:col>
          <xdr:colOff>9525</xdr:colOff>
          <xdr:row>11</xdr:row>
          <xdr:rowOff>257175</xdr:rowOff>
        </xdr:to>
        <xdr:sp macro="" textlink="">
          <xdr:nvSpPr>
            <xdr:cNvPr id="2051" name="OPBaseToCustomer" hidden="1">
              <a:extLst>
                <a:ext uri="{63B3BB69-23CF-44E3-9099-C40C66FF867C}">
                  <a14:compatExt spid="_x0000_s2051"/>
                </a:ext>
                <a:ext uri="{FF2B5EF4-FFF2-40B4-BE49-F238E27FC236}">
                  <a16:creationId xmlns:a16="http://schemas.microsoft.com/office/drawing/2014/main" id="{9DA9879A-D850-4450-B04E-18A3BF1F9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123825</xdr:colOff>
          <xdr:row>11</xdr:row>
          <xdr:rowOff>276225</xdr:rowOff>
        </xdr:from>
        <xdr:to>
          <xdr:col>54</xdr:col>
          <xdr:colOff>200025</xdr:colOff>
          <xdr:row>11</xdr:row>
          <xdr:rowOff>504825</xdr:rowOff>
        </xdr:to>
        <xdr:sp macro="" textlink="">
          <xdr:nvSpPr>
            <xdr:cNvPr id="2052" name="OPNRCJToCustomer" hidden="1">
              <a:extLst>
                <a:ext uri="{63B3BB69-23CF-44E3-9099-C40C66FF867C}">
                  <a14:compatExt spid="_x0000_s2052"/>
                </a:ext>
                <a:ext uri="{FF2B5EF4-FFF2-40B4-BE49-F238E27FC236}">
                  <a16:creationId xmlns:a16="http://schemas.microsoft.com/office/drawing/2014/main" id="{C82CD7C9-4109-450A-A23B-98589EDCDBB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152400</xdr:colOff>
          <xdr:row>10</xdr:row>
          <xdr:rowOff>247650</xdr:rowOff>
        </xdr:from>
        <xdr:to>
          <xdr:col>62</xdr:col>
          <xdr:colOff>152400</xdr:colOff>
          <xdr:row>11</xdr:row>
          <xdr:rowOff>723900</xdr:rowOff>
        </xdr:to>
        <xdr:sp macro="" textlink="">
          <xdr:nvSpPr>
            <xdr:cNvPr id="2053" name="Group Box 5" hidden="1">
              <a:extLst>
                <a:ext uri="{63B3BB69-23CF-44E3-9099-C40C66FF867C}">
                  <a14:compatExt spid="_x0000_s2053"/>
                </a:ext>
                <a:ext uri="{FF2B5EF4-FFF2-40B4-BE49-F238E27FC236}">
                  <a16:creationId xmlns:a16="http://schemas.microsoft.com/office/drawing/2014/main" id="{5E7FC1FB-6FE2-4D62-83C3-AD20061A680B}"/>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47625</xdr:colOff>
          <xdr:row>10</xdr:row>
          <xdr:rowOff>95250</xdr:rowOff>
        </xdr:from>
        <xdr:to>
          <xdr:col>53</xdr:col>
          <xdr:colOff>123825</xdr:colOff>
          <xdr:row>10</xdr:row>
          <xdr:rowOff>438150</xdr:rowOff>
        </xdr:to>
        <xdr:sp macro="" textlink="">
          <xdr:nvSpPr>
            <xdr:cNvPr id="2054" name="CBMachineRelease" hidden="1">
              <a:extLst>
                <a:ext uri="{63B3BB69-23CF-44E3-9099-C40C66FF867C}">
                  <a14:compatExt spid="_x0000_s2054"/>
                </a:ext>
                <a:ext uri="{FF2B5EF4-FFF2-40B4-BE49-F238E27FC236}">
                  <a16:creationId xmlns:a16="http://schemas.microsoft.com/office/drawing/2014/main" id="{A01D2D95-5B90-4D41-A10D-4B33001E25A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85725</xdr:colOff>
          <xdr:row>10</xdr:row>
          <xdr:rowOff>428625</xdr:rowOff>
        </xdr:from>
        <xdr:to>
          <xdr:col>55</xdr:col>
          <xdr:colOff>0</xdr:colOff>
          <xdr:row>11</xdr:row>
          <xdr:rowOff>533400</xdr:rowOff>
        </xdr:to>
        <xdr:sp macro="" textlink="">
          <xdr:nvSpPr>
            <xdr:cNvPr id="2055" name="Group Box 7" hidden="1">
              <a:extLst>
                <a:ext uri="{63B3BB69-23CF-44E3-9099-C40C66FF867C}">
                  <a14:compatExt spid="_x0000_s2055"/>
                </a:ext>
                <a:ext uri="{FF2B5EF4-FFF2-40B4-BE49-F238E27FC236}">
                  <a16:creationId xmlns:a16="http://schemas.microsoft.com/office/drawing/2014/main" id="{F0220250-3ED6-400B-97E1-7FE3A53C06E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55</xdr:col>
          <xdr:colOff>66675</xdr:colOff>
          <xdr:row>10</xdr:row>
          <xdr:rowOff>438150</xdr:rowOff>
        </xdr:from>
        <xdr:to>
          <xdr:col>61</xdr:col>
          <xdr:colOff>104775</xdr:colOff>
          <xdr:row>11</xdr:row>
          <xdr:rowOff>552450</xdr:rowOff>
        </xdr:to>
        <xdr:sp macro="" textlink="">
          <xdr:nvSpPr>
            <xdr:cNvPr id="2056" name="Group Box 8" hidden="1">
              <a:extLst>
                <a:ext uri="{63B3BB69-23CF-44E3-9099-C40C66FF867C}">
                  <a14:compatExt spid="_x0000_s2056"/>
                </a:ext>
                <a:ext uri="{FF2B5EF4-FFF2-40B4-BE49-F238E27FC236}">
                  <a16:creationId xmlns:a16="http://schemas.microsoft.com/office/drawing/2014/main" id="{57C1071B-9A57-4D0C-885E-7ED93FEDFC9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SOFTSERVER\WorkFiles\&#26989;&#21209;&#12501;&#12449;&#12452;&#12523;\310_&#20986;&#33655;&#12477;&#12501;&#12488;&#12496;&#12540;&#12472;&#12519;&#12531;&#12522;&#12473;&#12488;\&#12477;&#12501;&#12488;&#12522;&#12522;&#12540;&#12473;&#23653;&#27508;.xlsm" TargetMode="External"/><Relationship Id="rId1" Type="http://schemas.openxmlformats.org/officeDocument/2006/relationships/externalLinkPath" Target="file:///\\SOFTSERVER\WorkFiles\&#26989;&#21209;&#12501;&#12449;&#12452;&#12523;\310_&#20986;&#33655;&#12477;&#12501;&#12488;&#12496;&#12540;&#12472;&#12519;&#12531;&#12522;&#12473;&#12488;\&#12477;&#12501;&#12488;&#12522;&#12522;&#12540;&#12473;&#23653;&#27508;.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v-read\04_&#25216;&#34899;&#38283;&#30330;&#35069;&#36896;\Documents%20and%20Settings\o.yamaguchi\&#12487;&#12473;&#12463;&#12488;&#12483;&#12503;\REC91_IO(05).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顧客名リスト"/>
      <sheetName val="リリース履歴"/>
      <sheetName val="リスト参照"/>
      <sheetName val="リリースノート"/>
      <sheetName val="英語_リリースノート"/>
      <sheetName val="英語_変更連絡書"/>
      <sheetName val="変更連絡書"/>
      <sheetName val="更新履歴"/>
      <sheetName val="M6-ブランチ表"/>
      <sheetName val="M6-仕様書一覧"/>
      <sheetName val="M6-仕様書"/>
      <sheetName val="G2000系-仕様書一覧"/>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
      <sheetName val="1000"/>
      <sheetName val="2000"/>
      <sheetName val="3000"/>
      <sheetName val="4000"/>
      <sheetName val="5000"/>
      <sheetName val="6000"/>
      <sheetName val="入力出力（本体部）"/>
      <sheetName val="PLC&lt;=&gt;T015(Mecha IF)間"/>
      <sheetName val="PLC&lt;=&gt;T015(Mecha IF)間 通信タイムチャート"/>
      <sheetName val="PLC&lt;=&gt;T015(INOUT)間"/>
      <sheetName val="PLC&lt;=&gt;T015(INOUT)間 通信タイムチャート"/>
      <sheetName val="アラーム一覧"/>
      <sheetName val="メモリマップ"/>
      <sheetName val="設定"/>
      <sheetName val="PLC&lt;=&gt;T015(INOUT)間 通信タイムチャー_x0011_"/>
      <sheetName val="リスト参照"/>
      <sheetName val="Sheet1"/>
      <sheetName val="Sheet2"/>
      <sheetName val="Sheet3"/>
      <sheetName val="表紙"/>
      <sheetName val="更新履歴"/>
      <sheetName val="集計"/>
      <sheetName val="1"/>
      <sheetName val="コピー用シート"/>
      <sheetName val="詳細集計"/>
      <sheetName val="フォーマット更新履歴"/>
      <sheetName val="(参考）出力先フォルダ構成"/>
      <sheetName val="（参考）出力ファイル名"/>
      <sheetName val="（参考）出力フォーマット"/>
    </sheetNames>
    <sheetDataSet>
      <sheetData sheetId="0" refreshError="1"/>
      <sheetData sheetId="1" refreshError="1"/>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sheetData sheetId="19"/>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18" Type="http://schemas.openxmlformats.org/officeDocument/2006/relationships/comments" Target="../comments1.xml"/><Relationship Id="rId3" Type="http://schemas.openxmlformats.org/officeDocument/2006/relationships/drawing" Target="../drawings/drawing1.xml"/><Relationship Id="rId7" Type="http://schemas.openxmlformats.org/officeDocument/2006/relationships/control" Target="../activeX/activeX2.xml"/><Relationship Id="rId12" Type="http://schemas.openxmlformats.org/officeDocument/2006/relationships/image" Target="../media/image4.emf"/><Relationship Id="rId17" Type="http://schemas.openxmlformats.org/officeDocument/2006/relationships/ctrlProp" Target="../ctrlProps/ctrlProp3.xml"/><Relationship Id="rId2" Type="http://schemas.openxmlformats.org/officeDocument/2006/relationships/printerSettings" Target="../printerSettings/printerSettings1.bin"/><Relationship Id="rId16" Type="http://schemas.openxmlformats.org/officeDocument/2006/relationships/ctrlProp" Target="../ctrlProps/ctrlProp2.xml"/><Relationship Id="rId1" Type="http://schemas.openxmlformats.org/officeDocument/2006/relationships/hyperlink" Target="file:///\\sv-read\10_NidecG\01_NRCJ&#65288;&#12459;&#12479;&#12525;&#12464;&#21547;&#12416;&#65289;\11_Solution\01_ReleaseSoft\03_SRecM6\AJ003310_C&amp;B&#38651;&#23376;_SRecM6IISWx_" TargetMode="External"/><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5" Type="http://schemas.openxmlformats.org/officeDocument/2006/relationships/ctrlProp" Target="../ctrlProps/ctrlProp1.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01E07A-EFC8-4997-BB32-9CAE895BA1F5}">
  <sheetPr codeName="Sheet3">
    <tabColor theme="9" tint="0.79998168889431442"/>
    <pageSetUpPr fitToPage="1"/>
  </sheetPr>
  <dimension ref="C1:CL45"/>
  <sheetViews>
    <sheetView showGridLines="0" tabSelected="1" view="pageBreakPreview" zoomScale="85" zoomScaleNormal="70" zoomScaleSheetLayoutView="85" zoomScalePageLayoutView="40" workbookViewId="0">
      <selection activeCell="AO12" sqref="AO12"/>
    </sheetView>
  </sheetViews>
  <sheetFormatPr defaultColWidth="2.375" defaultRowHeight="13.5" x14ac:dyDescent="0.15"/>
  <cols>
    <col min="1" max="7" width="3" style="12" customWidth="1"/>
    <col min="8" max="17" width="2" style="12" customWidth="1"/>
    <col min="18" max="39" width="3" style="12" customWidth="1"/>
    <col min="40" max="56" width="2.875" style="14" customWidth="1"/>
    <col min="57" max="70" width="3.125" style="14" customWidth="1"/>
    <col min="71" max="74" width="3" style="14" customWidth="1"/>
    <col min="75" max="108" width="3" style="12" customWidth="1"/>
    <col min="109" max="109" width="2.875" style="12" customWidth="1"/>
    <col min="110" max="115" width="3" style="12" customWidth="1"/>
    <col min="116" max="16384" width="2.375" style="12"/>
  </cols>
  <sheetData>
    <row r="1" spans="3:90" x14ac:dyDescent="0.15">
      <c r="C1" s="12" t="s">
        <v>16</v>
      </c>
      <c r="AM1" s="13"/>
    </row>
    <row r="2" spans="3:90" ht="17.25" customHeight="1" x14ac:dyDescent="0.15">
      <c r="D2" s="12" t="s">
        <v>17</v>
      </c>
      <c r="G2" s="15"/>
      <c r="H2" s="15"/>
      <c r="I2" s="15"/>
      <c r="AM2" s="16"/>
    </row>
    <row r="3" spans="3:90" ht="30" customHeight="1" x14ac:dyDescent="0.15">
      <c r="C3" s="17" t="s">
        <v>18</v>
      </c>
      <c r="D3" s="18"/>
      <c r="E3" s="18"/>
      <c r="F3" s="18"/>
      <c r="G3" s="19"/>
      <c r="H3" s="20" t="s">
        <v>19</v>
      </c>
      <c r="I3" s="21"/>
      <c r="J3" s="21"/>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2"/>
    </row>
    <row r="4" spans="3:90" ht="30" customHeight="1" x14ac:dyDescent="0.15">
      <c r="C4" s="17" t="s">
        <v>20</v>
      </c>
      <c r="D4" s="18"/>
      <c r="E4" s="18"/>
      <c r="F4" s="18"/>
      <c r="G4" s="19"/>
      <c r="H4" s="20" t="s">
        <v>21</v>
      </c>
      <c r="I4" s="21"/>
      <c r="J4" s="21"/>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2"/>
      <c r="AZ4" s="23" t="s">
        <v>16</v>
      </c>
      <c r="BA4" s="23"/>
      <c r="BB4" s="23"/>
      <c r="BC4" s="23"/>
      <c r="BD4" s="23"/>
      <c r="BE4" s="23"/>
      <c r="BF4" s="23"/>
      <c r="BG4" s="23"/>
    </row>
    <row r="5" spans="3:90" ht="30" customHeight="1" x14ac:dyDescent="0.15">
      <c r="C5" s="17" t="s">
        <v>22</v>
      </c>
      <c r="D5" s="18"/>
      <c r="E5" s="18"/>
      <c r="F5" s="18"/>
      <c r="G5" s="19"/>
      <c r="H5" s="24"/>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2"/>
    </row>
    <row r="6" spans="3:90" ht="21" customHeight="1" x14ac:dyDescent="0.15">
      <c r="C6" s="17" t="s">
        <v>23</v>
      </c>
      <c r="D6" s="18"/>
      <c r="E6" s="18"/>
      <c r="F6" s="18"/>
      <c r="G6" s="19"/>
      <c r="H6" s="25">
        <v>46010</v>
      </c>
      <c r="I6" s="26"/>
      <c r="J6" s="26"/>
      <c r="K6" s="26"/>
      <c r="L6" s="26"/>
      <c r="M6" s="26"/>
      <c r="N6" s="26"/>
      <c r="O6" s="26"/>
      <c r="P6" s="26"/>
      <c r="Q6" s="26"/>
      <c r="R6" s="26"/>
      <c r="S6" s="26"/>
      <c r="T6" s="26"/>
      <c r="U6" s="26"/>
      <c r="V6" s="26"/>
      <c r="W6" s="26"/>
      <c r="X6" s="26"/>
      <c r="Y6" s="26"/>
      <c r="Z6" s="26"/>
      <c r="AA6" s="26"/>
      <c r="AB6" s="26"/>
      <c r="AC6" s="26"/>
      <c r="AD6" s="26"/>
      <c r="AE6" s="26"/>
      <c r="AF6" s="26"/>
      <c r="AG6" s="26"/>
      <c r="AH6" s="26"/>
      <c r="AI6" s="26"/>
      <c r="AJ6" s="26"/>
      <c r="AK6" s="26"/>
      <c r="AL6" s="26"/>
      <c r="AM6" s="27"/>
    </row>
    <row r="7" spans="3:90" ht="21" customHeight="1" x14ac:dyDescent="0.15">
      <c r="C7" s="17" t="s">
        <v>24</v>
      </c>
      <c r="D7" s="18"/>
      <c r="E7" s="18"/>
      <c r="F7" s="18"/>
      <c r="G7" s="19"/>
      <c r="H7" s="28" t="s">
        <v>25</v>
      </c>
      <c r="I7" s="29"/>
      <c r="J7" s="29"/>
      <c r="K7" s="29"/>
      <c r="L7" s="29"/>
      <c r="M7" s="29"/>
      <c r="N7" s="29"/>
      <c r="O7" s="29"/>
      <c r="P7" s="29"/>
      <c r="Q7" s="29"/>
      <c r="R7" s="29"/>
      <c r="S7" s="29"/>
      <c r="T7" s="29"/>
      <c r="U7" s="29"/>
      <c r="V7" s="29"/>
      <c r="W7" s="29"/>
      <c r="X7" s="29"/>
      <c r="Y7" s="29"/>
      <c r="Z7" s="29"/>
      <c r="AA7" s="29"/>
      <c r="AB7" s="29"/>
      <c r="AC7" s="29"/>
      <c r="AD7" s="29"/>
      <c r="AE7" s="29"/>
      <c r="AF7" s="29"/>
      <c r="AG7" s="29"/>
      <c r="AH7" s="29"/>
      <c r="AI7" s="29"/>
      <c r="AJ7" s="29"/>
      <c r="AK7" s="29"/>
      <c r="AL7" s="29"/>
      <c r="AM7" s="30"/>
    </row>
    <row r="8" spans="3:90" ht="30" customHeight="1" x14ac:dyDescent="0.15">
      <c r="C8" s="17" t="s">
        <v>26</v>
      </c>
      <c r="D8" s="18"/>
      <c r="E8" s="18"/>
      <c r="F8" s="18"/>
      <c r="G8" s="19"/>
      <c r="H8" s="31" t="s">
        <v>27</v>
      </c>
      <c r="I8" s="32"/>
      <c r="J8" s="32"/>
      <c r="K8" s="32"/>
      <c r="L8" s="32"/>
      <c r="M8" s="32"/>
      <c r="N8" s="32"/>
      <c r="O8" s="32"/>
      <c r="P8" s="32"/>
      <c r="Q8" s="32"/>
      <c r="R8" s="32"/>
      <c r="S8" s="32"/>
      <c r="T8" s="32"/>
      <c r="U8" s="32"/>
      <c r="V8" s="32"/>
      <c r="W8" s="32"/>
      <c r="X8" s="32"/>
      <c r="Y8" s="32"/>
      <c r="Z8" s="32"/>
      <c r="AA8" s="32"/>
      <c r="AB8" s="32"/>
      <c r="AC8" s="32"/>
      <c r="AD8" s="32"/>
      <c r="AE8" s="32"/>
      <c r="AF8" s="32"/>
      <c r="AG8" s="32"/>
      <c r="AH8" s="32"/>
      <c r="AI8" s="32"/>
      <c r="AJ8" s="32"/>
      <c r="AK8" s="32"/>
      <c r="AL8" s="32"/>
      <c r="AM8" s="33"/>
      <c r="AY8" s="34" t="s">
        <v>28</v>
      </c>
      <c r="AZ8" s="34"/>
      <c r="BA8" s="34"/>
      <c r="BB8" s="34" t="str">
        <f>H4</f>
        <v>G2128</v>
      </c>
      <c r="BC8" s="34"/>
      <c r="BD8" s="34"/>
      <c r="BE8" s="34"/>
      <c r="BF8" s="34"/>
      <c r="BG8" s="34"/>
      <c r="BH8" s="34"/>
      <c r="BI8" s="34"/>
    </row>
    <row r="9" spans="3:90" ht="30" customHeight="1" x14ac:dyDescent="0.15">
      <c r="C9" s="35" t="s">
        <v>29</v>
      </c>
      <c r="D9" s="36"/>
      <c r="E9" s="36"/>
      <c r="F9" s="36"/>
      <c r="G9" s="37"/>
      <c r="H9" s="38" t="s">
        <v>30</v>
      </c>
      <c r="I9" s="39"/>
      <c r="J9" s="39"/>
      <c r="K9" s="39"/>
      <c r="L9" s="39"/>
      <c r="M9" s="39"/>
      <c r="N9" s="39"/>
      <c r="O9" s="39"/>
      <c r="P9" s="39"/>
      <c r="Q9" s="39"/>
      <c r="R9" s="39"/>
      <c r="S9" s="39"/>
      <c r="T9" s="39"/>
      <c r="U9" s="39"/>
      <c r="V9" s="39"/>
      <c r="W9" s="39"/>
      <c r="X9" s="39"/>
      <c r="Y9" s="39"/>
      <c r="Z9" s="39"/>
      <c r="AA9" s="39"/>
      <c r="AB9" s="39"/>
      <c r="AC9" s="39"/>
      <c r="AD9" s="39"/>
      <c r="AE9" s="39"/>
      <c r="AF9" s="39"/>
      <c r="AG9" s="39"/>
      <c r="AH9" s="39"/>
      <c r="AI9" s="39"/>
      <c r="AJ9" s="39"/>
      <c r="AK9" s="39"/>
      <c r="AL9" s="39"/>
      <c r="AM9" s="40"/>
      <c r="AY9" s="34" t="s">
        <v>31</v>
      </c>
      <c r="AZ9" s="34"/>
      <c r="BA9" s="34"/>
      <c r="BB9" s="34"/>
      <c r="BD9" s="34" t="str">
        <f>H18</f>
        <v>3.19.3.6</v>
      </c>
      <c r="BE9" s="34"/>
      <c r="BF9" s="34"/>
      <c r="BG9" s="34"/>
      <c r="BH9" s="34"/>
      <c r="BI9" s="34"/>
    </row>
    <row r="10" spans="3:90" ht="30" customHeight="1" x14ac:dyDescent="0.15">
      <c r="C10" s="41"/>
      <c r="D10" s="42"/>
      <c r="E10" s="42"/>
      <c r="F10" s="42"/>
      <c r="G10" s="43"/>
      <c r="H10" s="44"/>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c r="AM10" s="46"/>
      <c r="AY10" s="47" t="s">
        <v>32</v>
      </c>
      <c r="AZ10" s="47"/>
      <c r="BA10" s="47"/>
      <c r="BB10" s="47"/>
      <c r="BC10" s="47" t="str">
        <f>H3</f>
        <v>UMTC蘇州</v>
      </c>
      <c r="BD10" s="47"/>
      <c r="BE10" s="47"/>
      <c r="BF10" s="47"/>
      <c r="BG10" s="47"/>
      <c r="BH10" s="47"/>
      <c r="BI10" s="47"/>
    </row>
    <row r="11" spans="3:90" ht="42" customHeight="1" x14ac:dyDescent="0.3">
      <c r="C11" s="41"/>
      <c r="D11" s="42"/>
      <c r="E11" s="42"/>
      <c r="F11" s="42"/>
      <c r="G11" s="43"/>
      <c r="H11" s="44"/>
      <c r="I11" s="45"/>
      <c r="J11" s="45"/>
      <c r="K11" s="45"/>
      <c r="L11" s="45"/>
      <c r="M11" s="45"/>
      <c r="N11" s="45"/>
      <c r="O11" s="45"/>
      <c r="P11" s="45"/>
      <c r="Q11" s="45"/>
      <c r="R11" s="45"/>
      <c r="S11" s="45"/>
      <c r="T11" s="45"/>
      <c r="U11" s="45"/>
      <c r="V11" s="45"/>
      <c r="W11" s="45"/>
      <c r="X11" s="45"/>
      <c r="Y11" s="45"/>
      <c r="Z11" s="45"/>
      <c r="AA11" s="45"/>
      <c r="AB11" s="45"/>
      <c r="AC11" s="45"/>
      <c r="AD11" s="45"/>
      <c r="AE11" s="45"/>
      <c r="AF11" s="45"/>
      <c r="AG11" s="45"/>
      <c r="AH11" s="45"/>
      <c r="AI11" s="45"/>
      <c r="AJ11" s="45"/>
      <c r="AK11" s="45"/>
      <c r="AL11" s="45"/>
      <c r="AM11" s="46"/>
      <c r="AP11" s="48">
        <v>5</v>
      </c>
      <c r="AQ11" s="48"/>
      <c r="AR11" s="48"/>
      <c r="AS11" s="48"/>
      <c r="AT11" s="48"/>
      <c r="AY11" s="49"/>
      <c r="AZ11" s="49"/>
      <c r="BA11" s="49"/>
      <c r="BB11" s="49"/>
      <c r="BC11" s="49"/>
      <c r="BD11" s="49"/>
      <c r="BE11" s="49"/>
      <c r="BF11" s="49"/>
      <c r="BG11" s="49"/>
      <c r="BH11" s="49"/>
      <c r="BI11" s="49"/>
    </row>
    <row r="12" spans="3:90" ht="67.5" customHeight="1" x14ac:dyDescent="0.3">
      <c r="C12" s="50"/>
      <c r="D12" s="51"/>
      <c r="E12" s="51"/>
      <c r="F12" s="51"/>
      <c r="G12" s="52"/>
      <c r="H12" s="53"/>
      <c r="I12" s="54"/>
      <c r="J12" s="54"/>
      <c r="K12" s="54"/>
      <c r="L12" s="54"/>
      <c r="M12" s="54"/>
      <c r="N12" s="54"/>
      <c r="O12" s="54"/>
      <c r="P12" s="54"/>
      <c r="Q12" s="54"/>
      <c r="R12" s="54"/>
      <c r="S12" s="54"/>
      <c r="T12" s="54"/>
      <c r="U12" s="54"/>
      <c r="V12" s="54"/>
      <c r="W12" s="54"/>
      <c r="X12" s="54"/>
      <c r="Y12" s="54"/>
      <c r="Z12" s="54"/>
      <c r="AA12" s="54"/>
      <c r="AB12" s="54"/>
      <c r="AC12" s="54"/>
      <c r="AD12" s="54"/>
      <c r="AE12" s="54"/>
      <c r="AF12" s="54"/>
      <c r="AG12" s="54"/>
      <c r="AH12" s="54"/>
      <c r="AI12" s="54"/>
      <c r="AJ12" s="54"/>
      <c r="AK12" s="54"/>
      <c r="AL12" s="54"/>
      <c r="AM12" s="55"/>
      <c r="AP12" s="48"/>
      <c r="AQ12" s="48"/>
      <c r="AR12" s="48"/>
      <c r="AS12" s="48"/>
      <c r="AT12" s="48"/>
    </row>
    <row r="13" spans="3:90" ht="24.75" customHeight="1" thickBot="1" x14ac:dyDescent="0.2">
      <c r="C13" s="35" t="s">
        <v>33</v>
      </c>
      <c r="D13" s="36"/>
      <c r="E13" s="36"/>
      <c r="F13" s="36"/>
      <c r="G13" s="37"/>
      <c r="H13" s="56" t="s">
        <v>34</v>
      </c>
      <c r="I13" s="57"/>
      <c r="J13" s="57"/>
      <c r="K13" s="57"/>
      <c r="L13" s="57"/>
      <c r="M13" s="57"/>
      <c r="N13" s="57"/>
      <c r="O13" s="57"/>
      <c r="P13" s="57"/>
      <c r="Q13" s="57"/>
      <c r="R13" s="57"/>
      <c r="S13" s="57"/>
      <c r="T13" s="57"/>
      <c r="U13" s="57"/>
      <c r="V13" s="57"/>
      <c r="W13" s="57"/>
      <c r="X13" s="57"/>
      <c r="Y13" s="57"/>
      <c r="Z13" s="57"/>
      <c r="AA13" s="57"/>
      <c r="AB13" s="57"/>
      <c r="AC13" s="57"/>
      <c r="AD13" s="57"/>
      <c r="AE13" s="57"/>
      <c r="AF13" s="57"/>
      <c r="AG13" s="57"/>
      <c r="AH13" s="57"/>
      <c r="AI13" s="57"/>
      <c r="AJ13" s="57"/>
      <c r="AK13" s="57"/>
      <c r="AL13" s="57"/>
      <c r="AM13" s="58"/>
      <c r="BE13" s="59" t="s">
        <v>35</v>
      </c>
      <c r="BF13" s="60"/>
      <c r="BG13" s="60"/>
      <c r="BH13" s="61"/>
      <c r="BI13" s="59" t="s">
        <v>36</v>
      </c>
      <c r="BJ13" s="62"/>
      <c r="BK13" s="60"/>
      <c r="BL13" s="60"/>
      <c r="BM13" s="63" t="s">
        <v>37</v>
      </c>
      <c r="BN13" s="63"/>
      <c r="BO13" s="63"/>
      <c r="BV13" s="12"/>
    </row>
    <row r="14" spans="3:90" ht="40.5" customHeight="1" x14ac:dyDescent="0.15">
      <c r="C14" s="50"/>
      <c r="D14" s="51"/>
      <c r="E14" s="51"/>
      <c r="F14" s="51"/>
      <c r="G14" s="52"/>
      <c r="H14" s="64"/>
      <c r="I14" s="65"/>
      <c r="J14" s="65"/>
      <c r="K14" s="65"/>
      <c r="L14" s="65"/>
      <c r="M14" s="65"/>
      <c r="N14" s="65"/>
      <c r="O14" s="65"/>
      <c r="P14" s="65"/>
      <c r="Q14" s="65"/>
      <c r="R14" s="65"/>
      <c r="S14" s="65"/>
      <c r="T14" s="65"/>
      <c r="U14" s="65"/>
      <c r="V14" s="65"/>
      <c r="W14" s="65"/>
      <c r="X14" s="65"/>
      <c r="Y14" s="65"/>
      <c r="Z14" s="65"/>
      <c r="AA14" s="65"/>
      <c r="AB14" s="65"/>
      <c r="AC14" s="65"/>
      <c r="AD14" s="65"/>
      <c r="AE14" s="65"/>
      <c r="AF14" s="65"/>
      <c r="AG14" s="65"/>
      <c r="AH14" s="65"/>
      <c r="AI14" s="65"/>
      <c r="AJ14" s="65"/>
      <c r="AK14" s="65"/>
      <c r="AL14" s="65"/>
      <c r="AM14" s="66"/>
      <c r="AP14" s="67"/>
      <c r="AQ14" s="68" t="s">
        <v>38</v>
      </c>
      <c r="AR14" s="69"/>
      <c r="AS14" s="69"/>
      <c r="AT14" s="69"/>
      <c r="AU14" s="69"/>
      <c r="AV14" s="69"/>
      <c r="AW14" s="69"/>
      <c r="AX14" s="69"/>
      <c r="AY14" s="69"/>
      <c r="AZ14" s="69"/>
      <c r="BA14" s="69"/>
      <c r="BB14" s="69"/>
      <c r="BC14" s="69"/>
      <c r="BD14" s="69"/>
      <c r="BE14" s="70" t="s">
        <v>39</v>
      </c>
      <c r="BF14" s="70"/>
      <c r="BG14" s="70" t="s">
        <v>40</v>
      </c>
      <c r="BH14" s="70"/>
      <c r="BI14" s="70" t="s">
        <v>39</v>
      </c>
      <c r="BJ14" s="70"/>
      <c r="BK14" s="70" t="s">
        <v>40</v>
      </c>
      <c r="BL14" s="70"/>
      <c r="BM14" s="71" t="s">
        <v>41</v>
      </c>
      <c r="BN14" s="72"/>
      <c r="BO14" s="73"/>
      <c r="BP14" s="74"/>
    </row>
    <row r="15" spans="3:90" ht="21" customHeight="1" x14ac:dyDescent="0.15">
      <c r="C15" s="17" t="s">
        <v>42</v>
      </c>
      <c r="D15" s="18"/>
      <c r="E15" s="18"/>
      <c r="F15" s="18"/>
      <c r="G15" s="19"/>
      <c r="H15" s="75" t="s">
        <v>43</v>
      </c>
      <c r="I15" s="76"/>
      <c r="J15" s="76"/>
      <c r="K15" s="76"/>
      <c r="L15" s="76"/>
      <c r="M15" s="76"/>
      <c r="N15" s="76"/>
      <c r="O15" s="76"/>
      <c r="P15" s="76"/>
      <c r="Q15" s="76"/>
      <c r="R15" s="76"/>
      <c r="S15" s="76"/>
      <c r="T15" s="76"/>
      <c r="U15" s="76"/>
      <c r="V15" s="76"/>
      <c r="W15" s="76"/>
      <c r="X15" s="76"/>
      <c r="Y15" s="76"/>
      <c r="Z15" s="76"/>
      <c r="AA15" s="76"/>
      <c r="AB15" s="76"/>
      <c r="AC15" s="76"/>
      <c r="AD15" s="76"/>
      <c r="AE15" s="76"/>
      <c r="AF15" s="76"/>
      <c r="AG15" s="76"/>
      <c r="AH15" s="76"/>
      <c r="AI15" s="76"/>
      <c r="AJ15" s="76"/>
      <c r="AK15" s="76"/>
      <c r="AL15" s="76"/>
      <c r="AM15" s="77"/>
      <c r="AP15" s="78">
        <v>1</v>
      </c>
      <c r="AQ15" s="79" t="s">
        <v>44</v>
      </c>
      <c r="AR15" s="80"/>
      <c r="AS15" s="80"/>
      <c r="AT15" s="80"/>
      <c r="AU15" s="80"/>
      <c r="AV15" s="80"/>
      <c r="AW15" s="80"/>
      <c r="AX15" s="80"/>
      <c r="AY15" s="80"/>
      <c r="AZ15" s="80"/>
      <c r="BA15" s="80"/>
      <c r="BB15" s="80"/>
      <c r="BC15" s="80"/>
      <c r="BD15" s="80"/>
      <c r="BE15" s="81"/>
      <c r="BF15" s="81"/>
      <c r="BG15" s="81"/>
      <c r="BH15" s="81"/>
      <c r="BI15" s="81"/>
      <c r="BJ15" s="81"/>
      <c r="BK15" s="81"/>
      <c r="BL15" s="81"/>
      <c r="BM15" s="82"/>
      <c r="BN15" s="81"/>
      <c r="BO15" s="83"/>
      <c r="BV15" s="12"/>
    </row>
    <row r="16" spans="3:90" s="84" customFormat="1" ht="13.5" customHeight="1" x14ac:dyDescent="0.15">
      <c r="C16" s="15"/>
      <c r="F16" s="85"/>
      <c r="G16" s="85"/>
      <c r="H16" s="86"/>
      <c r="I16" s="12"/>
      <c r="J16" s="12"/>
      <c r="AN16" s="14"/>
      <c r="AO16" s="14"/>
      <c r="AP16" s="87">
        <v>2</v>
      </c>
      <c r="AQ16" s="88" t="s">
        <v>45</v>
      </c>
      <c r="AR16" s="47"/>
      <c r="AS16" s="47"/>
      <c r="AT16" s="47"/>
      <c r="AU16" s="47"/>
      <c r="AV16" s="47"/>
      <c r="AW16" s="47"/>
      <c r="AX16" s="47"/>
      <c r="AY16" s="47"/>
      <c r="AZ16" s="47"/>
      <c r="BA16" s="47"/>
      <c r="BB16" s="47"/>
      <c r="BC16" s="47"/>
      <c r="BD16" s="47"/>
      <c r="BE16" s="89"/>
      <c r="BF16" s="89"/>
      <c r="BG16" s="89"/>
      <c r="BH16" s="89"/>
      <c r="BI16" s="81"/>
      <c r="BJ16" s="81"/>
      <c r="BK16" s="81"/>
      <c r="BL16" s="81"/>
      <c r="BM16" s="82"/>
      <c r="BN16" s="81"/>
      <c r="BO16" s="83"/>
      <c r="BP16" s="14"/>
      <c r="BQ16" s="14"/>
      <c r="BR16" s="14"/>
      <c r="BS16" s="14"/>
      <c r="BT16" s="14"/>
      <c r="BU16" s="14"/>
      <c r="CL16" s="84" t="s">
        <v>46</v>
      </c>
    </row>
    <row r="17" spans="3:74" ht="13.5" customHeight="1" x14ac:dyDescent="0.15">
      <c r="C17" s="90" t="s">
        <v>47</v>
      </c>
      <c r="D17" s="91"/>
      <c r="E17" s="92"/>
      <c r="F17" s="92"/>
      <c r="G17" s="93"/>
      <c r="H17" s="94" t="s">
        <v>48</v>
      </c>
      <c r="I17" s="92"/>
      <c r="J17" s="92"/>
      <c r="K17" s="92"/>
      <c r="L17" s="92"/>
      <c r="M17" s="92"/>
      <c r="N17" s="92"/>
      <c r="O17" s="92"/>
      <c r="P17" s="92"/>
      <c r="Q17" s="92"/>
      <c r="R17" s="92"/>
      <c r="S17" s="92"/>
      <c r="T17" s="92"/>
      <c r="U17" s="92"/>
      <c r="V17" s="92"/>
      <c r="W17" s="92"/>
      <c r="X17" s="92"/>
      <c r="Y17" s="92"/>
      <c r="Z17" s="92"/>
      <c r="AA17" s="92"/>
      <c r="AB17" s="92"/>
      <c r="AC17" s="92"/>
      <c r="AD17" s="92"/>
      <c r="AE17" s="92"/>
      <c r="AF17" s="92"/>
      <c r="AG17" s="92"/>
      <c r="AH17" s="92"/>
      <c r="AI17" s="92"/>
      <c r="AJ17" s="92"/>
      <c r="AK17" s="92"/>
      <c r="AL17" s="92"/>
      <c r="AM17" s="93"/>
      <c r="AN17" s="80"/>
      <c r="AO17" s="80"/>
      <c r="AP17" s="87">
        <v>3</v>
      </c>
      <c r="AQ17" s="88" t="s">
        <v>49</v>
      </c>
      <c r="AR17" s="47"/>
      <c r="AS17" s="47"/>
      <c r="AT17" s="47"/>
      <c r="AU17" s="47"/>
      <c r="AV17" s="47"/>
      <c r="AW17" s="47"/>
      <c r="AX17" s="47"/>
      <c r="AY17" s="47"/>
      <c r="AZ17" s="47"/>
      <c r="BA17" s="47"/>
      <c r="BB17" s="47"/>
      <c r="BC17" s="47"/>
      <c r="BD17" s="47"/>
      <c r="BE17" s="81"/>
      <c r="BF17" s="81"/>
      <c r="BG17" s="81"/>
      <c r="BH17" s="81"/>
      <c r="BI17" s="81"/>
      <c r="BJ17" s="81"/>
      <c r="BK17" s="81"/>
      <c r="BL17" s="81"/>
      <c r="BM17" s="82"/>
      <c r="BN17" s="81"/>
      <c r="BO17" s="83"/>
      <c r="BR17" s="80"/>
      <c r="BS17" s="80"/>
      <c r="BT17" s="80"/>
      <c r="BU17" s="80"/>
      <c r="BV17" s="12"/>
    </row>
    <row r="18" spans="3:74" ht="13.5" customHeight="1" x14ac:dyDescent="0.15">
      <c r="C18" s="90" t="s">
        <v>50</v>
      </c>
      <c r="D18" s="91"/>
      <c r="E18" s="92"/>
      <c r="F18" s="92"/>
      <c r="G18" s="93"/>
      <c r="H18" s="95" t="s">
        <v>51</v>
      </c>
      <c r="I18" s="96"/>
      <c r="J18" s="96"/>
      <c r="K18" s="96"/>
      <c r="L18" s="96"/>
      <c r="M18" s="96"/>
      <c r="N18" s="96"/>
      <c r="O18" s="96"/>
      <c r="P18" s="96"/>
      <c r="Q18" s="96"/>
      <c r="R18" s="96"/>
      <c r="S18" s="96"/>
      <c r="T18" s="96"/>
      <c r="U18" s="96"/>
      <c r="V18" s="96"/>
      <c r="W18" s="96"/>
      <c r="X18" s="96"/>
      <c r="Y18" s="96"/>
      <c r="Z18" s="96"/>
      <c r="AA18" s="96"/>
      <c r="AB18" s="96"/>
      <c r="AC18" s="96"/>
      <c r="AD18" s="96"/>
      <c r="AE18" s="96"/>
      <c r="AF18" s="96"/>
      <c r="AG18" s="96"/>
      <c r="AH18" s="96"/>
      <c r="AI18" s="96"/>
      <c r="AJ18" s="96"/>
      <c r="AK18" s="96"/>
      <c r="AL18" s="96"/>
      <c r="AM18" s="97"/>
      <c r="AP18" s="87">
        <v>4</v>
      </c>
      <c r="AQ18" s="88" t="s">
        <v>52</v>
      </c>
      <c r="AR18" s="47"/>
      <c r="AS18" s="47"/>
      <c r="AT18" s="47"/>
      <c r="AU18" s="47"/>
      <c r="AV18" s="47"/>
      <c r="AW18" s="47"/>
      <c r="AX18" s="47"/>
      <c r="AY18" s="47"/>
      <c r="AZ18" s="47"/>
      <c r="BA18" s="47"/>
      <c r="BB18" s="47"/>
      <c r="BC18" s="47"/>
      <c r="BD18" s="47"/>
      <c r="BE18" s="81"/>
      <c r="BF18" s="81"/>
      <c r="BG18" s="81"/>
      <c r="BH18" s="81"/>
      <c r="BI18" s="81"/>
      <c r="BJ18" s="81"/>
      <c r="BK18" s="81"/>
      <c r="BL18" s="81"/>
      <c r="BM18" s="98"/>
      <c r="BN18" s="89"/>
      <c r="BO18" s="99"/>
      <c r="BV18" s="12"/>
    </row>
    <row r="19" spans="3:74" ht="13.5" customHeight="1" x14ac:dyDescent="0.15">
      <c r="C19" s="90" t="s">
        <v>53</v>
      </c>
      <c r="D19" s="91"/>
      <c r="E19" s="92"/>
      <c r="F19" s="92"/>
      <c r="G19" s="93"/>
      <c r="H19" s="100" t="s">
        <v>54</v>
      </c>
      <c r="I19" s="101"/>
      <c r="J19" s="101"/>
      <c r="K19" s="101"/>
      <c r="L19" s="101"/>
      <c r="M19" s="101"/>
      <c r="N19" s="101"/>
      <c r="O19" s="101"/>
      <c r="P19" s="101"/>
      <c r="Q19" s="101"/>
      <c r="R19" s="101"/>
      <c r="S19" s="101"/>
      <c r="T19" s="101"/>
      <c r="U19" s="101"/>
      <c r="V19" s="101"/>
      <c r="W19" s="101"/>
      <c r="X19" s="101"/>
      <c r="Y19" s="101"/>
      <c r="Z19" s="101"/>
      <c r="AA19" s="101"/>
      <c r="AB19" s="101"/>
      <c r="AC19" s="101"/>
      <c r="AD19" s="101"/>
      <c r="AE19" s="101"/>
      <c r="AF19" s="101"/>
      <c r="AG19" s="101"/>
      <c r="AH19" s="101"/>
      <c r="AI19" s="101"/>
      <c r="AJ19" s="101"/>
      <c r="AK19" s="101"/>
      <c r="AL19" s="101"/>
      <c r="AM19" s="102"/>
      <c r="AP19" s="87">
        <v>5</v>
      </c>
      <c r="AQ19" s="103" t="s">
        <v>55</v>
      </c>
      <c r="AR19" s="47"/>
      <c r="AS19" s="47"/>
      <c r="AT19" s="47"/>
      <c r="AU19" s="47"/>
      <c r="AV19" s="47"/>
      <c r="AW19" s="47"/>
      <c r="AX19" s="47"/>
      <c r="AY19" s="47"/>
      <c r="AZ19" s="47"/>
      <c r="BA19" s="47"/>
      <c r="BB19" s="47"/>
      <c r="BC19" s="47"/>
      <c r="BD19" s="47"/>
      <c r="BE19" s="81"/>
      <c r="BF19" s="81"/>
      <c r="BG19" s="81"/>
      <c r="BH19" s="81"/>
      <c r="BI19" s="81"/>
      <c r="BJ19" s="81"/>
      <c r="BK19" s="81"/>
      <c r="BL19" s="81"/>
      <c r="BM19" s="98"/>
      <c r="BN19" s="89"/>
      <c r="BO19" s="99"/>
      <c r="BV19" s="12"/>
    </row>
    <row r="20" spans="3:74" ht="13.5" customHeight="1" x14ac:dyDescent="0.15">
      <c r="C20" s="90" t="s">
        <v>56</v>
      </c>
      <c r="D20" s="91"/>
      <c r="E20" s="92"/>
      <c r="F20" s="92"/>
      <c r="G20" s="93"/>
      <c r="H20" s="95" t="s">
        <v>54</v>
      </c>
      <c r="I20" s="96"/>
      <c r="J20" s="96"/>
      <c r="K20" s="96"/>
      <c r="L20" s="96"/>
      <c r="M20" s="96"/>
      <c r="N20" s="96"/>
      <c r="O20" s="96"/>
      <c r="P20" s="96"/>
      <c r="Q20" s="96"/>
      <c r="R20" s="96"/>
      <c r="S20" s="96"/>
      <c r="T20" s="96"/>
      <c r="U20" s="96"/>
      <c r="V20" s="96"/>
      <c r="W20" s="96"/>
      <c r="X20" s="96"/>
      <c r="Y20" s="96"/>
      <c r="Z20" s="96"/>
      <c r="AA20" s="96"/>
      <c r="AB20" s="96"/>
      <c r="AC20" s="96"/>
      <c r="AD20" s="96"/>
      <c r="AE20" s="96"/>
      <c r="AF20" s="96"/>
      <c r="AG20" s="96"/>
      <c r="AH20" s="96"/>
      <c r="AI20" s="96"/>
      <c r="AJ20" s="96"/>
      <c r="AK20" s="96"/>
      <c r="AL20" s="96"/>
      <c r="AM20" s="97"/>
      <c r="AP20" s="104">
        <v>6</v>
      </c>
      <c r="AQ20" s="105" t="s">
        <v>57</v>
      </c>
      <c r="AR20" s="49"/>
      <c r="AS20" s="49"/>
      <c r="AT20" s="49"/>
      <c r="AU20" s="49"/>
      <c r="AV20" s="49"/>
      <c r="AW20" s="49"/>
      <c r="AX20" s="49"/>
      <c r="AY20" s="49"/>
      <c r="AZ20" s="49"/>
      <c r="BA20" s="49"/>
      <c r="BB20" s="49"/>
      <c r="BC20" s="49"/>
      <c r="BD20" s="49"/>
      <c r="BE20" s="89"/>
      <c r="BF20" s="89"/>
      <c r="BG20" s="81"/>
      <c r="BH20" s="81"/>
      <c r="BI20" s="89"/>
      <c r="BJ20" s="89"/>
      <c r="BK20" s="81"/>
      <c r="BL20" s="81"/>
      <c r="BM20" s="98"/>
      <c r="BN20" s="89"/>
      <c r="BO20" s="99"/>
      <c r="BV20" s="12"/>
    </row>
    <row r="21" spans="3:74" ht="13.5" customHeight="1" x14ac:dyDescent="0.15">
      <c r="C21" s="90" t="s">
        <v>58</v>
      </c>
      <c r="D21" s="91"/>
      <c r="E21" s="92"/>
      <c r="F21" s="92"/>
      <c r="G21" s="93"/>
      <c r="H21" s="100" t="s">
        <v>54</v>
      </c>
      <c r="I21" s="101"/>
      <c r="J21" s="101"/>
      <c r="K21" s="101"/>
      <c r="L21" s="101"/>
      <c r="M21" s="101"/>
      <c r="N21" s="101"/>
      <c r="O21" s="101"/>
      <c r="P21" s="101"/>
      <c r="Q21" s="101"/>
      <c r="R21" s="101"/>
      <c r="S21" s="101"/>
      <c r="T21" s="101"/>
      <c r="U21" s="101"/>
      <c r="V21" s="101"/>
      <c r="W21" s="101"/>
      <c r="X21" s="101"/>
      <c r="Y21" s="101"/>
      <c r="Z21" s="101"/>
      <c r="AA21" s="101"/>
      <c r="AB21" s="101"/>
      <c r="AC21" s="101"/>
      <c r="AD21" s="101"/>
      <c r="AE21" s="101"/>
      <c r="AF21" s="101"/>
      <c r="AG21" s="101"/>
      <c r="AH21" s="101"/>
      <c r="AI21" s="101"/>
      <c r="AJ21" s="101"/>
      <c r="AK21" s="101"/>
      <c r="AL21" s="101"/>
      <c r="AM21" s="102"/>
      <c r="AP21" s="104">
        <v>7</v>
      </c>
      <c r="AQ21" s="106" t="s">
        <v>59</v>
      </c>
      <c r="AR21" s="107"/>
      <c r="AS21" s="107"/>
      <c r="AT21" s="107"/>
      <c r="AU21" s="107"/>
      <c r="AV21" s="107"/>
      <c r="AW21" s="107"/>
      <c r="AX21" s="107"/>
      <c r="AY21" s="107"/>
      <c r="AZ21" s="107"/>
      <c r="BA21" s="107"/>
      <c r="BB21" s="107"/>
      <c r="BC21" s="107"/>
      <c r="BD21" s="107"/>
      <c r="BE21" s="81"/>
      <c r="BF21" s="81"/>
      <c r="BG21" s="81"/>
      <c r="BH21" s="81"/>
      <c r="BI21" s="81"/>
      <c r="BJ21" s="81"/>
      <c r="BK21" s="81"/>
      <c r="BL21" s="81"/>
      <c r="BM21" s="82"/>
      <c r="BN21" s="81"/>
      <c r="BO21" s="83"/>
      <c r="BV21" s="12"/>
    </row>
    <row r="22" spans="3:74" ht="13.5" customHeight="1" x14ac:dyDescent="0.15">
      <c r="C22" s="90" t="s">
        <v>60</v>
      </c>
      <c r="D22" s="91"/>
      <c r="E22" s="92"/>
      <c r="F22" s="92"/>
      <c r="G22" s="93"/>
      <c r="H22" s="95" t="s">
        <v>54</v>
      </c>
      <c r="I22" s="96"/>
      <c r="J22" s="96"/>
      <c r="K22" s="96"/>
      <c r="L22" s="96"/>
      <c r="M22" s="96"/>
      <c r="N22" s="96"/>
      <c r="O22" s="96"/>
      <c r="P22" s="96"/>
      <c r="Q22" s="96"/>
      <c r="R22" s="96"/>
      <c r="S22" s="96"/>
      <c r="T22" s="96"/>
      <c r="U22" s="96"/>
      <c r="V22" s="96"/>
      <c r="W22" s="96"/>
      <c r="X22" s="96"/>
      <c r="Y22" s="96"/>
      <c r="Z22" s="96"/>
      <c r="AA22" s="96"/>
      <c r="AB22" s="96"/>
      <c r="AC22" s="96"/>
      <c r="AD22" s="96"/>
      <c r="AE22" s="96"/>
      <c r="AF22" s="96"/>
      <c r="AG22" s="96"/>
      <c r="AH22" s="96"/>
      <c r="AI22" s="96"/>
      <c r="AJ22" s="96"/>
      <c r="AK22" s="96"/>
      <c r="AL22" s="96"/>
      <c r="AM22" s="97"/>
      <c r="AP22" s="108"/>
      <c r="AQ22" s="109" t="s">
        <v>61</v>
      </c>
      <c r="AR22" s="110"/>
      <c r="AS22" s="110"/>
      <c r="AT22" s="110"/>
      <c r="AU22" s="110"/>
      <c r="AV22" s="110"/>
      <c r="AW22" s="110"/>
      <c r="AX22" s="110"/>
      <c r="AY22" s="110"/>
      <c r="AZ22" s="110"/>
      <c r="BA22" s="110"/>
      <c r="BB22" s="110"/>
      <c r="BC22" s="110"/>
      <c r="BD22" s="110"/>
      <c r="BE22" s="81"/>
      <c r="BF22" s="81"/>
      <c r="BG22" s="81"/>
      <c r="BH22" s="81"/>
      <c r="BI22" s="81"/>
      <c r="BJ22" s="81"/>
      <c r="BK22" s="81"/>
      <c r="BL22" s="81"/>
      <c r="BM22" s="82"/>
      <c r="BN22" s="81"/>
      <c r="BO22" s="83"/>
      <c r="BV22" s="12"/>
    </row>
    <row r="23" spans="3:74" ht="13.5" customHeight="1" thickBot="1" x14ac:dyDescent="0.2">
      <c r="C23" s="90" t="s">
        <v>62</v>
      </c>
      <c r="D23" s="91"/>
      <c r="E23" s="92"/>
      <c r="F23" s="92"/>
      <c r="G23" s="93"/>
      <c r="H23" s="100" t="s">
        <v>54</v>
      </c>
      <c r="I23" s="101"/>
      <c r="J23" s="101"/>
      <c r="K23" s="101"/>
      <c r="L23" s="101"/>
      <c r="M23" s="101"/>
      <c r="N23" s="101"/>
      <c r="O23" s="101"/>
      <c r="P23" s="101"/>
      <c r="Q23" s="101"/>
      <c r="R23" s="101"/>
      <c r="S23" s="101"/>
      <c r="T23" s="101"/>
      <c r="U23" s="101"/>
      <c r="V23" s="101"/>
      <c r="W23" s="101"/>
      <c r="X23" s="101"/>
      <c r="Y23" s="101"/>
      <c r="Z23" s="101"/>
      <c r="AA23" s="101"/>
      <c r="AB23" s="101"/>
      <c r="AC23" s="101"/>
      <c r="AD23" s="101"/>
      <c r="AE23" s="101"/>
      <c r="AF23" s="101"/>
      <c r="AG23" s="101"/>
      <c r="AH23" s="101"/>
      <c r="AI23" s="101"/>
      <c r="AJ23" s="101"/>
      <c r="AK23" s="101"/>
      <c r="AL23" s="101"/>
      <c r="AM23" s="102"/>
      <c r="AP23" s="111"/>
      <c r="AQ23" s="112"/>
      <c r="AR23" s="113"/>
      <c r="AS23" s="113"/>
      <c r="AT23" s="113"/>
      <c r="AU23" s="113"/>
      <c r="AV23" s="113"/>
      <c r="AW23" s="113"/>
      <c r="AX23" s="113"/>
      <c r="AY23" s="113"/>
      <c r="AZ23" s="113"/>
      <c r="BA23" s="113"/>
      <c r="BB23" s="113"/>
      <c r="BC23" s="113"/>
      <c r="BD23" s="113"/>
      <c r="BE23" s="81"/>
      <c r="BF23" s="81"/>
      <c r="BG23" s="81"/>
      <c r="BH23" s="81"/>
      <c r="BI23" s="81"/>
      <c r="BJ23" s="81"/>
      <c r="BK23" s="81"/>
      <c r="BL23" s="81"/>
      <c r="BM23" s="114"/>
      <c r="BN23" s="115"/>
      <c r="BO23" s="116"/>
      <c r="BV23" s="12"/>
    </row>
    <row r="24" spans="3:74" ht="13.5" customHeight="1" x14ac:dyDescent="0.15">
      <c r="C24" s="90" t="s">
        <v>63</v>
      </c>
      <c r="D24" s="91"/>
      <c r="E24" s="92"/>
      <c r="F24" s="92"/>
      <c r="G24" s="93"/>
      <c r="H24" s="100" t="s">
        <v>54</v>
      </c>
      <c r="I24" s="101"/>
      <c r="J24" s="101"/>
      <c r="K24" s="101"/>
      <c r="L24" s="101"/>
      <c r="M24" s="101"/>
      <c r="N24" s="101"/>
      <c r="O24" s="101"/>
      <c r="P24" s="101"/>
      <c r="Q24" s="101"/>
      <c r="R24" s="101"/>
      <c r="S24" s="101"/>
      <c r="T24" s="101"/>
      <c r="U24" s="101"/>
      <c r="V24" s="101"/>
      <c r="W24" s="101"/>
      <c r="X24" s="101"/>
      <c r="Y24" s="101"/>
      <c r="Z24" s="101"/>
      <c r="AA24" s="101"/>
      <c r="AB24" s="101"/>
      <c r="AC24" s="101"/>
      <c r="AD24" s="101"/>
      <c r="AE24" s="101"/>
      <c r="AF24" s="101"/>
      <c r="AG24" s="101"/>
      <c r="AH24" s="101"/>
      <c r="AI24" s="101"/>
      <c r="AJ24" s="101"/>
      <c r="AK24" s="101"/>
      <c r="AL24" s="101"/>
      <c r="AM24" s="102"/>
    </row>
    <row r="25" spans="3:74" ht="13.5" customHeight="1" x14ac:dyDescent="0.15">
      <c r="C25" s="90" t="s">
        <v>64</v>
      </c>
      <c r="D25" s="91"/>
      <c r="E25" s="92"/>
      <c r="F25" s="92"/>
      <c r="G25" s="93"/>
      <c r="H25" s="100" t="s">
        <v>54</v>
      </c>
      <c r="I25" s="101"/>
      <c r="J25" s="101"/>
      <c r="K25" s="101"/>
      <c r="L25" s="101"/>
      <c r="M25" s="101"/>
      <c r="N25" s="101"/>
      <c r="O25" s="101"/>
      <c r="P25" s="101"/>
      <c r="Q25" s="101"/>
      <c r="R25" s="101"/>
      <c r="S25" s="101"/>
      <c r="T25" s="101"/>
      <c r="U25" s="101"/>
      <c r="V25" s="101"/>
      <c r="W25" s="101"/>
      <c r="X25" s="101"/>
      <c r="Y25" s="101"/>
      <c r="Z25" s="101"/>
      <c r="AA25" s="101"/>
      <c r="AB25" s="101"/>
      <c r="AC25" s="101"/>
      <c r="AD25" s="101"/>
      <c r="AE25" s="101"/>
      <c r="AF25" s="101"/>
      <c r="AG25" s="101"/>
      <c r="AH25" s="101"/>
      <c r="AI25" s="101"/>
      <c r="AJ25" s="101"/>
      <c r="AK25" s="101"/>
      <c r="AL25" s="101"/>
      <c r="AM25" s="102"/>
    </row>
    <row r="26" spans="3:74" ht="13.5" customHeight="1" x14ac:dyDescent="0.15">
      <c r="C26" s="90" t="s">
        <v>65</v>
      </c>
      <c r="D26" s="91"/>
      <c r="E26" s="92"/>
      <c r="F26" s="92"/>
      <c r="G26" s="93"/>
      <c r="H26" s="100" t="s">
        <v>54</v>
      </c>
      <c r="I26" s="101"/>
      <c r="J26" s="101"/>
      <c r="K26" s="101"/>
      <c r="L26" s="101"/>
      <c r="M26" s="101"/>
      <c r="N26" s="101"/>
      <c r="O26" s="101"/>
      <c r="P26" s="101"/>
      <c r="Q26" s="101"/>
      <c r="R26" s="101"/>
      <c r="S26" s="101"/>
      <c r="T26" s="101"/>
      <c r="U26" s="101"/>
      <c r="V26" s="101"/>
      <c r="W26" s="101"/>
      <c r="X26" s="101"/>
      <c r="Y26" s="101"/>
      <c r="Z26" s="101"/>
      <c r="AA26" s="101"/>
      <c r="AB26" s="101"/>
      <c r="AC26" s="101"/>
      <c r="AD26" s="101"/>
      <c r="AE26" s="101"/>
      <c r="AF26" s="101"/>
      <c r="AG26" s="101"/>
      <c r="AH26" s="101"/>
      <c r="AI26" s="101"/>
      <c r="AJ26" s="101"/>
      <c r="AK26" s="101"/>
      <c r="AL26" s="101"/>
      <c r="AM26" s="102"/>
      <c r="BQ26" s="117"/>
      <c r="BR26" s="12"/>
      <c r="BS26" s="118"/>
      <c r="BT26" s="118"/>
      <c r="BU26" s="118"/>
    </row>
    <row r="27" spans="3:74" ht="13.5" customHeight="1" x14ac:dyDescent="0.15">
      <c r="C27" s="90" t="s">
        <v>66</v>
      </c>
      <c r="D27" s="91"/>
      <c r="E27" s="92"/>
      <c r="F27" s="92"/>
      <c r="G27" s="93"/>
      <c r="H27" s="100" t="s">
        <v>54</v>
      </c>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01"/>
      <c r="AL27" s="101"/>
      <c r="AM27" s="102"/>
      <c r="AR27" s="119" t="s">
        <v>67</v>
      </c>
      <c r="AS27" s="120"/>
      <c r="AT27" s="120"/>
      <c r="AU27" s="120"/>
      <c r="AV27" s="120"/>
      <c r="AW27" s="120"/>
      <c r="AX27" s="120"/>
      <c r="AY27" s="120"/>
      <c r="AZ27" s="120"/>
      <c r="BA27" s="121"/>
      <c r="BB27" s="81" t="s">
        <v>68</v>
      </c>
      <c r="BC27" s="81"/>
      <c r="BD27" s="81"/>
      <c r="BE27" s="81"/>
      <c r="BF27" s="81"/>
      <c r="BG27" s="119" t="s">
        <v>69</v>
      </c>
      <c r="BH27" s="120"/>
      <c r="BI27" s="120"/>
      <c r="BJ27" s="120"/>
      <c r="BK27" s="120"/>
      <c r="BL27" s="120"/>
      <c r="BM27" s="120"/>
      <c r="BN27" s="121"/>
      <c r="BO27" s="118"/>
      <c r="BP27" s="118"/>
      <c r="BQ27" s="117"/>
      <c r="BR27" s="12"/>
      <c r="BS27" s="118"/>
      <c r="BT27" s="118"/>
      <c r="BU27" s="118"/>
    </row>
    <row r="28" spans="3:74" ht="13.5" customHeight="1" x14ac:dyDescent="0.15">
      <c r="C28" s="90" t="s">
        <v>70</v>
      </c>
      <c r="D28" s="91"/>
      <c r="E28" s="92"/>
      <c r="F28" s="92"/>
      <c r="G28" s="93"/>
      <c r="H28" s="100" t="s">
        <v>54</v>
      </c>
      <c r="I28" s="101"/>
      <c r="J28" s="101"/>
      <c r="K28" s="101"/>
      <c r="L28" s="101"/>
      <c r="M28" s="101"/>
      <c r="N28" s="101"/>
      <c r="O28" s="101"/>
      <c r="P28" s="101"/>
      <c r="Q28" s="101"/>
      <c r="R28" s="101"/>
      <c r="S28" s="101"/>
      <c r="T28" s="101"/>
      <c r="U28" s="101"/>
      <c r="V28" s="101"/>
      <c r="W28" s="101"/>
      <c r="X28" s="101"/>
      <c r="Y28" s="101"/>
      <c r="Z28" s="101"/>
      <c r="AA28" s="101"/>
      <c r="AB28" s="101"/>
      <c r="AC28" s="101"/>
      <c r="AD28" s="101"/>
      <c r="AE28" s="101"/>
      <c r="AF28" s="101"/>
      <c r="AG28" s="101"/>
      <c r="AH28" s="101"/>
      <c r="AI28" s="101"/>
      <c r="AJ28" s="101"/>
      <c r="AK28" s="101"/>
      <c r="AL28" s="101"/>
      <c r="AM28" s="102"/>
      <c r="AR28" s="119" t="s">
        <v>71</v>
      </c>
      <c r="AS28" s="120"/>
      <c r="AT28" s="120"/>
      <c r="AU28" s="120"/>
      <c r="AV28" s="121"/>
      <c r="AW28" s="119" t="s">
        <v>72</v>
      </c>
      <c r="AX28" s="120"/>
      <c r="AY28" s="120"/>
      <c r="AZ28" s="120"/>
      <c r="BA28" s="121"/>
      <c r="BB28" s="119" t="s">
        <v>73</v>
      </c>
      <c r="BC28" s="120"/>
      <c r="BD28" s="120"/>
      <c r="BE28" s="120"/>
      <c r="BF28" s="121"/>
      <c r="BG28" s="119" t="s">
        <v>71</v>
      </c>
      <c r="BH28" s="120"/>
      <c r="BI28" s="120"/>
      <c r="BJ28" s="120"/>
      <c r="BK28" s="119" t="s">
        <v>72</v>
      </c>
      <c r="BL28" s="120"/>
      <c r="BM28" s="120"/>
      <c r="BN28" s="121"/>
      <c r="BO28" s="118"/>
      <c r="BP28" s="118"/>
      <c r="BQ28" s="117"/>
      <c r="BR28" s="118"/>
      <c r="BS28" s="118"/>
      <c r="BT28" s="118"/>
      <c r="BV28" s="12"/>
    </row>
    <row r="29" spans="3:74" ht="13.5" customHeight="1" x14ac:dyDescent="0.15">
      <c r="C29" s="90" t="s">
        <v>74</v>
      </c>
      <c r="D29" s="91"/>
      <c r="E29" s="92"/>
      <c r="F29" s="92"/>
      <c r="G29" s="93"/>
      <c r="H29" s="95" t="s">
        <v>54</v>
      </c>
      <c r="I29" s="96"/>
      <c r="J29" s="96"/>
      <c r="K29" s="96"/>
      <c r="L29" s="96"/>
      <c r="M29" s="96"/>
      <c r="N29" s="96"/>
      <c r="O29" s="96"/>
      <c r="P29" s="96"/>
      <c r="Q29" s="96"/>
      <c r="R29" s="96"/>
      <c r="S29" s="96"/>
      <c r="T29" s="96"/>
      <c r="U29" s="96"/>
      <c r="V29" s="96"/>
      <c r="W29" s="96"/>
      <c r="X29" s="96"/>
      <c r="Y29" s="96"/>
      <c r="Z29" s="96"/>
      <c r="AA29" s="96"/>
      <c r="AB29" s="96"/>
      <c r="AC29" s="96"/>
      <c r="AD29" s="96"/>
      <c r="AE29" s="96"/>
      <c r="AF29" s="96"/>
      <c r="AG29" s="96"/>
      <c r="AH29" s="96"/>
      <c r="AI29" s="96"/>
      <c r="AJ29" s="96"/>
      <c r="AK29" s="96"/>
      <c r="AL29" s="96"/>
      <c r="AM29" s="97"/>
      <c r="AR29" s="122"/>
      <c r="AS29" s="123"/>
      <c r="AT29" s="123"/>
      <c r="AU29" s="123"/>
      <c r="AV29" s="124"/>
      <c r="AW29" s="125"/>
      <c r="AX29" s="126"/>
      <c r="AY29" s="126"/>
      <c r="AZ29" s="126"/>
      <c r="BA29" s="127"/>
      <c r="BB29" s="122"/>
      <c r="BC29" s="120"/>
      <c r="BD29" s="120"/>
      <c r="BE29" s="120"/>
      <c r="BF29" s="121"/>
      <c r="BG29" s="122">
        <f>AH36</f>
        <v>0</v>
      </c>
      <c r="BH29" s="123"/>
      <c r="BI29" s="123"/>
      <c r="BJ29" s="123"/>
      <c r="BK29" s="128">
        <f>X36</f>
        <v>45573</v>
      </c>
      <c r="BL29" s="129"/>
      <c r="BM29" s="129"/>
      <c r="BN29" s="130"/>
      <c r="BO29" s="131"/>
      <c r="BP29" s="131"/>
      <c r="BQ29" s="12"/>
      <c r="BR29" s="117"/>
      <c r="BS29" s="117"/>
      <c r="BT29" s="117"/>
      <c r="BV29" s="12"/>
    </row>
    <row r="30" spans="3:74" ht="13.5" customHeight="1" x14ac:dyDescent="0.15">
      <c r="C30" s="90" t="s">
        <v>75</v>
      </c>
      <c r="D30" s="91"/>
      <c r="E30" s="92"/>
      <c r="F30" s="92"/>
      <c r="G30" s="93"/>
      <c r="H30" s="132" t="s">
        <v>54</v>
      </c>
      <c r="I30" s="133"/>
      <c r="J30" s="133"/>
      <c r="K30" s="133"/>
      <c r="L30" s="133"/>
      <c r="M30" s="133"/>
      <c r="N30" s="133"/>
      <c r="O30" s="133"/>
      <c r="P30" s="133"/>
      <c r="Q30" s="133"/>
      <c r="R30" s="133"/>
      <c r="S30" s="133"/>
      <c r="T30" s="133"/>
      <c r="U30" s="133"/>
      <c r="V30" s="133"/>
      <c r="W30" s="133"/>
      <c r="X30" s="133"/>
      <c r="Y30" s="133"/>
      <c r="Z30" s="133"/>
      <c r="AA30" s="133"/>
      <c r="AB30" s="133"/>
      <c r="AC30" s="133"/>
      <c r="AD30" s="133"/>
      <c r="AE30" s="133"/>
      <c r="AF30" s="133"/>
      <c r="AG30" s="133"/>
      <c r="AH30" s="133"/>
      <c r="AI30" s="133"/>
      <c r="AJ30" s="133"/>
      <c r="AK30" s="133"/>
      <c r="AL30" s="133"/>
      <c r="AM30" s="134"/>
      <c r="AR30" s="135"/>
      <c r="AS30" s="136"/>
      <c r="AT30" s="136"/>
      <c r="AU30" s="136"/>
      <c r="AV30" s="137"/>
      <c r="AW30" s="138"/>
      <c r="AX30" s="139"/>
      <c r="AY30" s="139"/>
      <c r="AZ30" s="139"/>
      <c r="BA30" s="140"/>
      <c r="BB30" s="135" t="s">
        <v>76</v>
      </c>
      <c r="BC30" s="136"/>
      <c r="BD30" s="136"/>
      <c r="BE30" s="136"/>
      <c r="BF30" s="137"/>
      <c r="BG30" s="135"/>
      <c r="BH30" s="136"/>
      <c r="BI30" s="136"/>
      <c r="BJ30" s="137"/>
      <c r="BK30" s="135" t="s">
        <v>77</v>
      </c>
      <c r="BL30" s="136"/>
      <c r="BM30" s="136"/>
      <c r="BN30" s="137"/>
      <c r="BO30" s="141"/>
      <c r="BP30" s="141"/>
      <c r="BQ30" s="12"/>
      <c r="BR30" s="117"/>
      <c r="BS30" s="117"/>
      <c r="BT30" s="117"/>
      <c r="BV30" s="12"/>
    </row>
    <row r="31" spans="3:74" ht="13.5" customHeight="1" x14ac:dyDescent="0.15">
      <c r="AI31" s="142"/>
      <c r="AJ31" s="142"/>
      <c r="AK31" s="142"/>
      <c r="AL31" s="142"/>
      <c r="AM31" s="143"/>
      <c r="AR31" s="144"/>
      <c r="AS31" s="145"/>
      <c r="AT31" s="145"/>
      <c r="AU31" s="145"/>
      <c r="AV31" s="146"/>
      <c r="AW31" s="147"/>
      <c r="AX31" s="148"/>
      <c r="AY31" s="148"/>
      <c r="AZ31" s="148"/>
      <c r="BA31" s="149"/>
      <c r="BB31" s="144"/>
      <c r="BC31" s="145"/>
      <c r="BD31" s="145"/>
      <c r="BE31" s="145"/>
      <c r="BF31" s="146"/>
      <c r="BG31" s="144"/>
      <c r="BH31" s="145"/>
      <c r="BI31" s="145"/>
      <c r="BJ31" s="146"/>
      <c r="BK31" s="144"/>
      <c r="BL31" s="145"/>
      <c r="BM31" s="145"/>
      <c r="BN31" s="146"/>
      <c r="BO31" s="141"/>
      <c r="BP31" s="141"/>
      <c r="BQ31" s="12"/>
      <c r="BR31" s="117"/>
      <c r="BS31" s="117"/>
      <c r="BT31" s="117"/>
      <c r="BV31" s="12"/>
    </row>
    <row r="32" spans="3:74" x14ac:dyDescent="0.15">
      <c r="AI32" s="142"/>
      <c r="AJ32" s="142"/>
      <c r="AK32" s="142"/>
      <c r="AL32" s="142"/>
      <c r="AM32" s="143"/>
      <c r="AP32" s="12"/>
      <c r="AQ32" s="12"/>
      <c r="AR32" s="150"/>
      <c r="AS32" s="151"/>
      <c r="AT32" s="151"/>
      <c r="AU32" s="151"/>
      <c r="AV32" s="152"/>
      <c r="AW32" s="153"/>
      <c r="AX32" s="154"/>
      <c r="AY32" s="154"/>
      <c r="AZ32" s="154"/>
      <c r="BA32" s="155"/>
      <c r="BB32" s="150"/>
      <c r="BC32" s="151"/>
      <c r="BD32" s="151"/>
      <c r="BE32" s="151"/>
      <c r="BF32" s="152"/>
      <c r="BG32" s="150"/>
      <c r="BH32" s="151"/>
      <c r="BI32" s="151"/>
      <c r="BJ32" s="152"/>
      <c r="BK32" s="150"/>
      <c r="BL32" s="151"/>
      <c r="BM32" s="151"/>
      <c r="BN32" s="152"/>
      <c r="BO32" s="141"/>
      <c r="BP32" s="141"/>
      <c r="BQ32" s="12"/>
      <c r="BR32" s="12"/>
      <c r="BS32" s="12"/>
      <c r="BT32" s="12"/>
      <c r="BV32" s="12"/>
    </row>
    <row r="33" spans="18:73" x14ac:dyDescent="0.15">
      <c r="AI33" s="142"/>
      <c r="AJ33" s="142"/>
      <c r="AK33" s="142"/>
      <c r="AL33" s="142"/>
      <c r="AM33" s="143"/>
      <c r="AP33" s="12"/>
      <c r="AQ33" s="12"/>
      <c r="AR33" s="12"/>
      <c r="AS33" s="12"/>
      <c r="AT33" s="12"/>
      <c r="AU33" s="12"/>
      <c r="AV33" s="12"/>
      <c r="AW33" s="12"/>
      <c r="AX33" s="12"/>
      <c r="AY33" s="12"/>
      <c r="AZ33" s="12"/>
      <c r="BA33" s="12"/>
      <c r="BB33" s="12"/>
      <c r="BC33" s="12"/>
      <c r="BD33" s="12"/>
      <c r="BE33" s="12"/>
      <c r="BF33" s="12"/>
      <c r="BG33" s="12"/>
      <c r="BH33" s="12"/>
      <c r="BI33" s="12"/>
      <c r="BJ33" s="12"/>
      <c r="BK33" s="12"/>
      <c r="BL33" s="12"/>
      <c r="BM33" s="12"/>
      <c r="BN33" s="12"/>
      <c r="BO33" s="12"/>
      <c r="BP33" s="12"/>
      <c r="BQ33" s="12"/>
      <c r="BR33" s="12"/>
      <c r="BS33" s="12"/>
      <c r="BT33" s="12"/>
      <c r="BU33" s="12"/>
    </row>
    <row r="34" spans="18:73" x14ac:dyDescent="0.15">
      <c r="R34" s="156" t="s">
        <v>18</v>
      </c>
      <c r="S34" s="157"/>
      <c r="T34" s="157"/>
      <c r="U34" s="157"/>
      <c r="V34" s="158"/>
      <c r="X34" s="159" t="s">
        <v>78</v>
      </c>
      <c r="Y34" s="159"/>
      <c r="Z34" s="159"/>
      <c r="AA34" s="159"/>
      <c r="AB34" s="159"/>
      <c r="AC34" s="159" t="s">
        <v>79</v>
      </c>
      <c r="AD34" s="159"/>
      <c r="AE34" s="159"/>
      <c r="AF34" s="159"/>
      <c r="AG34" s="159"/>
      <c r="AH34" s="159" t="s">
        <v>80</v>
      </c>
      <c r="AI34" s="159"/>
      <c r="AJ34" s="159"/>
      <c r="AK34" s="159"/>
      <c r="AL34" s="159"/>
      <c r="AM34" s="143"/>
      <c r="AP34" s="12"/>
      <c r="AQ34" s="12"/>
      <c r="AR34" s="12"/>
      <c r="AS34" s="12"/>
      <c r="AT34" s="12"/>
      <c r="AU34" s="12"/>
      <c r="AV34" s="12"/>
      <c r="AW34" s="12"/>
      <c r="AX34" s="12"/>
      <c r="AY34" s="12"/>
      <c r="AZ34" s="12"/>
      <c r="BA34" s="12"/>
      <c r="BB34" s="12"/>
      <c r="BC34" s="12"/>
      <c r="BD34" s="12"/>
      <c r="BE34" s="12"/>
      <c r="BF34" s="12"/>
      <c r="BG34" s="12"/>
      <c r="BH34" s="12"/>
      <c r="BI34" s="12"/>
      <c r="BJ34" s="12"/>
      <c r="BK34" s="12"/>
      <c r="BL34" s="12"/>
      <c r="BM34" s="12"/>
      <c r="BN34" s="12"/>
      <c r="BO34" s="12"/>
      <c r="BP34" s="12"/>
      <c r="BQ34" s="12"/>
      <c r="BR34" s="12"/>
      <c r="BS34" s="12"/>
      <c r="BT34" s="12"/>
      <c r="BU34" s="12"/>
    </row>
    <row r="35" spans="18:73" x14ac:dyDescent="0.15">
      <c r="R35" s="160"/>
      <c r="S35" s="161"/>
      <c r="T35" s="161"/>
      <c r="U35" s="161"/>
      <c r="V35" s="162"/>
      <c r="X35" s="159"/>
      <c r="Y35" s="159"/>
      <c r="Z35" s="159"/>
      <c r="AA35" s="159"/>
      <c r="AB35" s="159"/>
      <c r="AC35" s="159"/>
      <c r="AD35" s="159"/>
      <c r="AE35" s="159"/>
      <c r="AF35" s="159"/>
      <c r="AG35" s="159"/>
      <c r="AH35" s="159"/>
      <c r="AI35" s="159"/>
      <c r="AJ35" s="159"/>
      <c r="AK35" s="159"/>
      <c r="AL35" s="159"/>
      <c r="AM35" s="143"/>
      <c r="AP35" s="12"/>
      <c r="AQ35" s="12"/>
      <c r="AR35" s="12"/>
      <c r="AS35" s="12"/>
      <c r="AT35" s="12"/>
      <c r="AU35" s="12"/>
      <c r="AV35" s="12"/>
      <c r="AW35" s="12"/>
      <c r="AX35" s="12"/>
      <c r="AY35" s="12"/>
      <c r="AZ35" s="12"/>
      <c r="BA35" s="12"/>
      <c r="BB35" s="12"/>
      <c r="BC35" s="12"/>
      <c r="BD35" s="12"/>
      <c r="BE35" s="12"/>
      <c r="BF35" s="12"/>
      <c r="BG35" s="12"/>
      <c r="BH35" s="12"/>
      <c r="BI35" s="12"/>
      <c r="BJ35" s="12"/>
      <c r="BK35" s="12"/>
      <c r="BL35" s="12"/>
      <c r="BM35" s="12"/>
      <c r="BN35" s="12"/>
      <c r="BO35" s="12"/>
      <c r="BP35" s="12"/>
      <c r="BQ35" s="12"/>
      <c r="BR35" s="12"/>
      <c r="BS35" s="12"/>
      <c r="BT35" s="12"/>
      <c r="BU35" s="12"/>
    </row>
    <row r="36" spans="18:73" ht="18.75" x14ac:dyDescent="0.4">
      <c r="R36" s="163"/>
      <c r="S36" s="164"/>
      <c r="T36" s="164"/>
      <c r="U36" s="164"/>
      <c r="V36" s="165"/>
      <c r="X36" s="163">
        <v>45573</v>
      </c>
      <c r="Y36" s="164"/>
      <c r="Z36" s="164"/>
      <c r="AA36" s="164"/>
      <c r="AB36" s="165"/>
      <c r="AC36" s="163"/>
      <c r="AD36" s="166"/>
      <c r="AE36" s="166"/>
      <c r="AF36" s="166"/>
      <c r="AG36" s="167"/>
      <c r="AH36" s="163"/>
      <c r="AI36" s="164"/>
      <c r="AJ36" s="164"/>
      <c r="AK36" s="164"/>
      <c r="AL36" s="165"/>
      <c r="AM36" s="143"/>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2"/>
      <c r="BQ36" s="12"/>
      <c r="BR36" s="12"/>
      <c r="BS36" s="12"/>
      <c r="BT36" s="12"/>
      <c r="BU36" s="12"/>
    </row>
    <row r="37" spans="18:73" x14ac:dyDescent="0.15">
      <c r="R37" s="168"/>
      <c r="S37" s="157"/>
      <c r="T37" s="157"/>
      <c r="U37" s="157"/>
      <c r="V37" s="158"/>
      <c r="X37" s="168" t="s">
        <v>77</v>
      </c>
      <c r="Y37" s="157"/>
      <c r="Z37" s="157"/>
      <c r="AA37" s="157"/>
      <c r="AB37" s="158"/>
      <c r="AC37" s="168"/>
      <c r="AD37" s="157"/>
      <c r="AE37" s="157"/>
      <c r="AF37" s="157"/>
      <c r="AG37" s="158"/>
      <c r="AH37" s="168"/>
      <c r="AI37" s="157"/>
      <c r="AJ37" s="157"/>
      <c r="AK37" s="157"/>
      <c r="AL37" s="158"/>
      <c r="AM37" s="143"/>
      <c r="AP37" s="12"/>
      <c r="AV37" s="12"/>
      <c r="AW37" s="12"/>
      <c r="AX37" s="12"/>
      <c r="AY37" s="12"/>
      <c r="AZ37" s="12"/>
      <c r="BA37" s="12"/>
      <c r="BB37" s="12"/>
      <c r="BC37" s="12"/>
      <c r="BD37" s="12"/>
      <c r="BE37" s="12"/>
      <c r="BF37" s="12"/>
      <c r="BG37" s="12"/>
      <c r="BH37" s="12"/>
      <c r="BI37" s="12"/>
      <c r="BJ37" s="12"/>
      <c r="BK37" s="12"/>
      <c r="BL37" s="12"/>
      <c r="BM37" s="12"/>
      <c r="BN37" s="12"/>
      <c r="BO37" s="12"/>
      <c r="BP37" s="12"/>
      <c r="BQ37" s="12"/>
      <c r="BR37" s="12"/>
      <c r="BS37" s="12"/>
      <c r="BT37" s="12"/>
      <c r="BU37" s="12"/>
    </row>
    <row r="38" spans="18:73" x14ac:dyDescent="0.15">
      <c r="R38" s="169"/>
      <c r="S38" s="170"/>
      <c r="T38" s="170"/>
      <c r="U38" s="170"/>
      <c r="V38" s="171"/>
      <c r="X38" s="169"/>
      <c r="Y38" s="170"/>
      <c r="Z38" s="170"/>
      <c r="AA38" s="170"/>
      <c r="AB38" s="171"/>
      <c r="AC38" s="169"/>
      <c r="AD38" s="170"/>
      <c r="AE38" s="170"/>
      <c r="AF38" s="170"/>
      <c r="AG38" s="171"/>
      <c r="AH38" s="169"/>
      <c r="AI38" s="170"/>
      <c r="AJ38" s="170"/>
      <c r="AK38" s="170"/>
      <c r="AL38" s="171"/>
      <c r="AM38" s="143"/>
      <c r="AW38" s="12"/>
      <c r="AX38" s="12"/>
      <c r="AY38" s="12"/>
      <c r="AZ38" s="12"/>
      <c r="BA38" s="12"/>
      <c r="BB38" s="12"/>
      <c r="BC38" s="12"/>
      <c r="BD38" s="12"/>
      <c r="BE38" s="12"/>
      <c r="BF38" s="12"/>
      <c r="BG38" s="12"/>
      <c r="BH38" s="12"/>
      <c r="BI38" s="12"/>
      <c r="BJ38" s="12"/>
      <c r="BK38" s="12"/>
      <c r="BL38" s="12"/>
      <c r="BM38" s="12"/>
      <c r="BN38" s="12"/>
      <c r="BO38" s="12"/>
      <c r="BP38" s="12"/>
      <c r="BQ38" s="12"/>
      <c r="BR38" s="12"/>
      <c r="BS38" s="118"/>
      <c r="BT38" s="118"/>
      <c r="BU38" s="118"/>
    </row>
    <row r="39" spans="18:73" x14ac:dyDescent="0.15">
      <c r="R39" s="169"/>
      <c r="S39" s="170"/>
      <c r="T39" s="170"/>
      <c r="U39" s="170"/>
      <c r="V39" s="171"/>
      <c r="X39" s="169"/>
      <c r="Y39" s="170"/>
      <c r="Z39" s="170"/>
      <c r="AA39" s="170"/>
      <c r="AB39" s="171"/>
      <c r="AC39" s="169"/>
      <c r="AD39" s="170"/>
      <c r="AE39" s="170"/>
      <c r="AF39" s="170"/>
      <c r="AG39" s="171"/>
      <c r="AH39" s="169"/>
      <c r="AI39" s="170"/>
      <c r="AJ39" s="170"/>
      <c r="AK39" s="170"/>
      <c r="AL39" s="171"/>
      <c r="AM39" s="143"/>
      <c r="AW39" s="117"/>
      <c r="AX39" s="118"/>
      <c r="AY39" s="118"/>
      <c r="AZ39" s="118"/>
      <c r="BA39" s="118"/>
      <c r="BB39" s="117"/>
      <c r="BC39" s="118"/>
      <c r="BD39" s="118"/>
      <c r="BE39" s="118"/>
      <c r="BF39" s="118"/>
      <c r="BG39" s="118"/>
      <c r="BH39" s="118"/>
      <c r="BI39" s="118"/>
      <c r="BJ39" s="118"/>
      <c r="BK39" s="118"/>
      <c r="BL39" s="118"/>
      <c r="BM39" s="118"/>
      <c r="BN39" s="118"/>
      <c r="BO39" s="118"/>
      <c r="BP39" s="118"/>
      <c r="BQ39" s="118"/>
      <c r="BR39" s="118"/>
      <c r="BS39" s="118"/>
      <c r="BT39" s="118"/>
      <c r="BU39" s="118"/>
    </row>
    <row r="40" spans="18:73" x14ac:dyDescent="0.15">
      <c r="R40" s="160"/>
      <c r="S40" s="161"/>
      <c r="T40" s="161"/>
      <c r="U40" s="161"/>
      <c r="V40" s="162"/>
      <c r="X40" s="160"/>
      <c r="Y40" s="161"/>
      <c r="Z40" s="161"/>
      <c r="AA40" s="161"/>
      <c r="AB40" s="162"/>
      <c r="AC40" s="160"/>
      <c r="AD40" s="161"/>
      <c r="AE40" s="161"/>
      <c r="AF40" s="161"/>
      <c r="AG40" s="162"/>
      <c r="AH40" s="160"/>
      <c r="AI40" s="161"/>
      <c r="AJ40" s="161"/>
      <c r="AK40" s="161"/>
      <c r="AL40" s="162"/>
      <c r="AM40" s="143"/>
      <c r="AW40" s="117"/>
      <c r="AX40" s="118"/>
      <c r="AY40" s="118"/>
      <c r="AZ40" s="118"/>
      <c r="BA40" s="118"/>
      <c r="BB40" s="117"/>
      <c r="BC40" s="118"/>
      <c r="BD40" s="118"/>
      <c r="BE40" s="118"/>
      <c r="BF40" s="118"/>
      <c r="BG40" s="118"/>
      <c r="BH40" s="118"/>
      <c r="BI40" s="118"/>
      <c r="BJ40" s="118"/>
      <c r="BK40" s="118"/>
      <c r="BL40" s="118"/>
      <c r="BM40" s="118"/>
      <c r="BN40" s="118"/>
      <c r="BO40" s="118"/>
      <c r="BP40" s="118"/>
      <c r="BQ40" s="118"/>
      <c r="BR40" s="118"/>
      <c r="BS40" s="118"/>
      <c r="BT40" s="118"/>
      <c r="BU40" s="118"/>
    </row>
    <row r="41" spans="18:73" x14ac:dyDescent="0.15">
      <c r="AI41" s="142"/>
      <c r="AJ41" s="142"/>
      <c r="AK41" s="142"/>
      <c r="AL41" s="142"/>
      <c r="AM41" s="143"/>
      <c r="AW41" s="117"/>
      <c r="AX41" s="118"/>
      <c r="AY41" s="118"/>
      <c r="AZ41" s="118"/>
      <c r="BA41" s="118"/>
      <c r="BB41" s="117"/>
      <c r="BC41" s="118"/>
      <c r="BD41" s="118"/>
      <c r="BE41" s="118"/>
      <c r="BF41" s="118"/>
      <c r="BG41" s="118"/>
      <c r="BH41" s="118"/>
      <c r="BI41" s="118"/>
      <c r="BJ41" s="118"/>
      <c r="BK41" s="118"/>
      <c r="BL41" s="118"/>
      <c r="BM41" s="118"/>
      <c r="BN41" s="118"/>
      <c r="BO41" s="118"/>
      <c r="BP41" s="118"/>
      <c r="BQ41" s="118"/>
      <c r="BR41" s="118"/>
      <c r="BS41" s="118"/>
      <c r="BT41" s="118"/>
      <c r="BU41" s="118"/>
    </row>
    <row r="42" spans="18:73" x14ac:dyDescent="0.15">
      <c r="AI42" s="142"/>
      <c r="AJ42" s="142"/>
      <c r="AK42" s="142"/>
      <c r="AL42" s="142"/>
      <c r="AM42" s="143"/>
      <c r="AW42" s="117"/>
      <c r="AX42" s="118"/>
      <c r="AY42" s="118"/>
      <c r="AZ42" s="118"/>
      <c r="BA42" s="118"/>
      <c r="BB42" s="117"/>
      <c r="BC42" s="118"/>
      <c r="BD42" s="118"/>
      <c r="BE42" s="118"/>
      <c r="BF42" s="118"/>
      <c r="BG42" s="118"/>
      <c r="BH42" s="118"/>
      <c r="BI42" s="118"/>
      <c r="BJ42" s="118"/>
      <c r="BK42" s="118"/>
      <c r="BL42" s="118"/>
      <c r="BM42" s="118"/>
      <c r="BN42" s="118"/>
      <c r="BO42" s="118"/>
      <c r="BP42" s="118"/>
      <c r="BQ42" s="118"/>
      <c r="BR42" s="118"/>
      <c r="BS42" s="118"/>
      <c r="BT42" s="118"/>
      <c r="BU42" s="118"/>
    </row>
    <row r="43" spans="18:73" x14ac:dyDescent="0.15">
      <c r="AI43" s="142"/>
      <c r="AJ43" s="142"/>
      <c r="AK43" s="142"/>
      <c r="AL43" s="142"/>
      <c r="AM43" s="143"/>
      <c r="AW43" s="117"/>
      <c r="AX43" s="118"/>
      <c r="AY43" s="118"/>
      <c r="AZ43" s="118"/>
      <c r="BA43" s="118"/>
      <c r="BB43" s="117"/>
      <c r="BC43" s="118"/>
      <c r="BD43" s="118"/>
      <c r="BE43" s="118"/>
      <c r="BF43" s="118"/>
      <c r="BG43" s="118"/>
      <c r="BH43" s="118"/>
      <c r="BI43" s="118"/>
      <c r="BJ43" s="118"/>
      <c r="BK43" s="118"/>
      <c r="BL43" s="118"/>
      <c r="BM43" s="118"/>
      <c r="BN43" s="118"/>
      <c r="BO43" s="118"/>
      <c r="BP43" s="118"/>
      <c r="BQ43" s="118"/>
      <c r="BR43" s="118"/>
    </row>
    <row r="45" spans="18:73" ht="13.5" customHeight="1" x14ac:dyDescent="0.15"/>
  </sheetData>
  <mergeCells count="106">
    <mergeCell ref="R37:V40"/>
    <mergeCell ref="X37:AB40"/>
    <mergeCell ref="AC37:AG40"/>
    <mergeCell ref="AH37:AL40"/>
    <mergeCell ref="R34:V35"/>
    <mergeCell ref="X34:AB35"/>
    <mergeCell ref="AC34:AG35"/>
    <mergeCell ref="AH34:AL35"/>
    <mergeCell ref="R36:V36"/>
    <mergeCell ref="X36:AB36"/>
    <mergeCell ref="AC36:AG36"/>
    <mergeCell ref="AH36:AL36"/>
    <mergeCell ref="H30:AM30"/>
    <mergeCell ref="AR30:AV32"/>
    <mergeCell ref="AW30:BA32"/>
    <mergeCell ref="BB30:BF32"/>
    <mergeCell ref="BG30:BJ32"/>
    <mergeCell ref="BK30:BN32"/>
    <mergeCell ref="H29:AM29"/>
    <mergeCell ref="AR29:AV29"/>
    <mergeCell ref="AW29:BA29"/>
    <mergeCell ref="BB29:BF29"/>
    <mergeCell ref="BG29:BJ29"/>
    <mergeCell ref="BK29:BN29"/>
    <mergeCell ref="BG27:BN27"/>
    <mergeCell ref="H28:AM28"/>
    <mergeCell ref="AR28:AV28"/>
    <mergeCell ref="AW28:BA28"/>
    <mergeCell ref="BB28:BF28"/>
    <mergeCell ref="BG28:BJ28"/>
    <mergeCell ref="BK28:BN28"/>
    <mergeCell ref="H24:AM24"/>
    <mergeCell ref="H25:AM25"/>
    <mergeCell ref="H26:AM26"/>
    <mergeCell ref="H27:AM27"/>
    <mergeCell ref="AR27:BA27"/>
    <mergeCell ref="BB27:BF27"/>
    <mergeCell ref="H21:AM21"/>
    <mergeCell ref="BE21:BF23"/>
    <mergeCell ref="BG21:BH23"/>
    <mergeCell ref="BI21:BJ23"/>
    <mergeCell ref="BK21:BL23"/>
    <mergeCell ref="BM21:BO23"/>
    <mergeCell ref="H22:AM22"/>
    <mergeCell ref="AQ22:BD23"/>
    <mergeCell ref="H23:AM23"/>
    <mergeCell ref="H20:AM20"/>
    <mergeCell ref="BE20:BF20"/>
    <mergeCell ref="BG20:BH20"/>
    <mergeCell ref="BI20:BJ20"/>
    <mergeCell ref="BK20:BL20"/>
    <mergeCell ref="BM20:BO20"/>
    <mergeCell ref="BM18:BO18"/>
    <mergeCell ref="H19:AM19"/>
    <mergeCell ref="BE19:BF19"/>
    <mergeCell ref="BG19:BH19"/>
    <mergeCell ref="BI19:BJ19"/>
    <mergeCell ref="BK19:BL19"/>
    <mergeCell ref="BM19:BO19"/>
    <mergeCell ref="BE17:BF17"/>
    <mergeCell ref="BG17:BH17"/>
    <mergeCell ref="BI17:BJ17"/>
    <mergeCell ref="BK17:BL17"/>
    <mergeCell ref="BM17:BO17"/>
    <mergeCell ref="H18:AM18"/>
    <mergeCell ref="BE18:BF18"/>
    <mergeCell ref="BG18:BH18"/>
    <mergeCell ref="BI18:BJ18"/>
    <mergeCell ref="BK18:BL18"/>
    <mergeCell ref="BM15:BO15"/>
    <mergeCell ref="BE16:BF16"/>
    <mergeCell ref="BG16:BH16"/>
    <mergeCell ref="BI16:BJ16"/>
    <mergeCell ref="BK16:BL16"/>
    <mergeCell ref="BM16:BO16"/>
    <mergeCell ref="C15:G15"/>
    <mergeCell ref="H15:AM15"/>
    <mergeCell ref="BE15:BF15"/>
    <mergeCell ref="BG15:BH15"/>
    <mergeCell ref="BI15:BJ15"/>
    <mergeCell ref="BK15:BL15"/>
    <mergeCell ref="BM13:BO13"/>
    <mergeCell ref="BE14:BF14"/>
    <mergeCell ref="BG14:BH14"/>
    <mergeCell ref="BI14:BJ14"/>
    <mergeCell ref="BK14:BL14"/>
    <mergeCell ref="BM14:BO14"/>
    <mergeCell ref="C9:G12"/>
    <mergeCell ref="H9:AM12"/>
    <mergeCell ref="C13:G14"/>
    <mergeCell ref="H13:AM14"/>
    <mergeCell ref="BE13:BH13"/>
    <mergeCell ref="BI13:BL13"/>
    <mergeCell ref="C6:G6"/>
    <mergeCell ref="H6:AM6"/>
    <mergeCell ref="C7:G7"/>
    <mergeCell ref="H7:AM7"/>
    <mergeCell ref="C8:G8"/>
    <mergeCell ref="H8:AM8"/>
    <mergeCell ref="C3:G3"/>
    <mergeCell ref="H3:AM3"/>
    <mergeCell ref="C4:G4"/>
    <mergeCell ref="H4:AM4"/>
    <mergeCell ref="AZ4:BG4"/>
    <mergeCell ref="C5:G5"/>
    <mergeCell ref="H5:AM5"/>
  </mergeCells>
  <phoneticPr fontId="2"/>
  <dataValidations count="1">
    <dataValidation type="list" allowBlank="1" showInputMessage="1" showErrorMessage="1" sqref="H18:H29" xr:uid="{C276C181-5FAC-4F5F-AF37-A5BF481B251B}">
      <formula1>$H$19:$H$20</formula1>
    </dataValidation>
  </dataValidations>
  <hyperlinks>
    <hyperlink ref="AQ22" r:id="rId1" location="1\Rev01" display="\\sv-read\10_NidecG\01_NRCJ（カタログ含む）\11_Solution\01_ReleaseSoft\03_SRecM6\AJ003310_C&amp;B電子_SRecM6IISWx_#1\Rev01" xr:uid="{1C199722-9F88-4D8F-8EDA-62611A7A1EB4}"/>
  </hyperlinks>
  <pageMargins left="0.23622047244094491" right="0.23622047244094491" top="0.74803149606299213" bottom="0.74803149606299213" header="0.31496062992125984" footer="0.31496062992125984"/>
  <pageSetup paperSize="9" scale="89" fitToWidth="0" orientation="portrait" horizontalDpi="300" verticalDpi="300" r:id="rId2"/>
  <headerFooter alignWithMargins="0"/>
  <colBreaks count="1" manualBreakCount="1">
    <brk id="39" max="43" man="1"/>
  </colBreaks>
  <drawing r:id="rId3"/>
  <legacyDrawing r:id="rId4"/>
  <controls>
    <mc:AlternateContent xmlns:mc="http://schemas.openxmlformats.org/markup-compatibility/2006">
      <mc:Choice Requires="x14">
        <control shapeId="2054" r:id="rId5" name="CBMachineRelease">
          <controlPr defaultSize="0" autoLine="0" autoPict="0" r:id="rId6">
            <anchor moveWithCells="1">
              <from>
                <xdr:col>48</xdr:col>
                <xdr:colOff>47625</xdr:colOff>
                <xdr:row>10</xdr:row>
                <xdr:rowOff>95250</xdr:rowOff>
              </from>
              <to>
                <xdr:col>53</xdr:col>
                <xdr:colOff>123825</xdr:colOff>
                <xdr:row>10</xdr:row>
                <xdr:rowOff>438150</xdr:rowOff>
              </to>
            </anchor>
          </controlPr>
        </control>
      </mc:Choice>
      <mc:Fallback>
        <control shapeId="2054" r:id="rId5" name="CBMachineRelease"/>
      </mc:Fallback>
    </mc:AlternateContent>
    <mc:AlternateContent xmlns:mc="http://schemas.openxmlformats.org/markup-compatibility/2006">
      <mc:Choice Requires="x14">
        <control shapeId="2052" r:id="rId7" name="OPNRCJToCustomer">
          <controlPr autoLine="0" autoPict="0" r:id="rId8">
            <anchor moveWithCells="1">
              <from>
                <xdr:col>48</xdr:col>
                <xdr:colOff>123825</xdr:colOff>
                <xdr:row>11</xdr:row>
                <xdr:rowOff>276225</xdr:rowOff>
              </from>
              <to>
                <xdr:col>54</xdr:col>
                <xdr:colOff>200025</xdr:colOff>
                <xdr:row>11</xdr:row>
                <xdr:rowOff>504825</xdr:rowOff>
              </to>
            </anchor>
          </controlPr>
        </control>
      </mc:Choice>
      <mc:Fallback>
        <control shapeId="2052" r:id="rId7" name="OPNRCJToCustomer"/>
      </mc:Fallback>
    </mc:AlternateContent>
    <mc:AlternateContent xmlns:mc="http://schemas.openxmlformats.org/markup-compatibility/2006">
      <mc:Choice Requires="x14">
        <control shapeId="2051" r:id="rId9" name="OPBaseToCustomer">
          <controlPr autoLine="0" autoPict="0" r:id="rId10">
            <anchor moveWithCells="1">
              <from>
                <xdr:col>48</xdr:col>
                <xdr:colOff>123825</xdr:colOff>
                <xdr:row>11</xdr:row>
                <xdr:rowOff>28575</xdr:rowOff>
              </from>
              <to>
                <xdr:col>55</xdr:col>
                <xdr:colOff>9525</xdr:colOff>
                <xdr:row>11</xdr:row>
                <xdr:rowOff>257175</xdr:rowOff>
              </to>
            </anchor>
          </controlPr>
        </control>
      </mc:Choice>
      <mc:Fallback>
        <control shapeId="2051" r:id="rId9" name="OPBaseToCustomer"/>
      </mc:Fallback>
    </mc:AlternateContent>
    <mc:AlternateContent xmlns:mc="http://schemas.openxmlformats.org/markup-compatibility/2006">
      <mc:Choice Requires="x14">
        <control shapeId="2050" r:id="rId11" name="OPModification">
          <controlPr autoLine="0" autoPict="0" r:id="rId12">
            <anchor moveWithCells="1">
              <from>
                <xdr:col>56</xdr:col>
                <xdr:colOff>85725</xdr:colOff>
                <xdr:row>11</xdr:row>
                <xdr:rowOff>266700</xdr:rowOff>
              </from>
              <to>
                <xdr:col>61</xdr:col>
                <xdr:colOff>171450</xdr:colOff>
                <xdr:row>11</xdr:row>
                <xdr:rowOff>485775</xdr:rowOff>
              </to>
            </anchor>
          </controlPr>
        </control>
      </mc:Choice>
      <mc:Fallback>
        <control shapeId="2050" r:id="rId11" name="OPModification"/>
      </mc:Fallback>
    </mc:AlternateContent>
    <mc:AlternateContent xmlns:mc="http://schemas.openxmlformats.org/markup-compatibility/2006">
      <mc:Choice Requires="x14">
        <control shapeId="2049" r:id="rId13" name="OBRepeat">
          <controlPr autoLine="0" autoPict="0" r:id="rId14">
            <anchor moveWithCells="1">
              <from>
                <xdr:col>56</xdr:col>
                <xdr:colOff>76200</xdr:colOff>
                <xdr:row>11</xdr:row>
                <xdr:rowOff>19050</xdr:rowOff>
              </from>
              <to>
                <xdr:col>61</xdr:col>
                <xdr:colOff>76200</xdr:colOff>
                <xdr:row>11</xdr:row>
                <xdr:rowOff>247650</xdr:rowOff>
              </to>
            </anchor>
          </controlPr>
        </control>
      </mc:Choice>
      <mc:Fallback>
        <control shapeId="2049" r:id="rId13" name="OBRepeat"/>
      </mc:Fallback>
    </mc:AlternateContent>
    <mc:AlternateContent xmlns:mc="http://schemas.openxmlformats.org/markup-compatibility/2006">
      <mc:Choice Requires="x14">
        <control shapeId="2053" r:id="rId15" name="Group Box 5">
          <controlPr defaultSize="0" autoFill="0" autoPict="0">
            <anchor moveWithCells="1">
              <from>
                <xdr:col>47</xdr:col>
                <xdr:colOff>152400</xdr:colOff>
                <xdr:row>10</xdr:row>
                <xdr:rowOff>247650</xdr:rowOff>
              </from>
              <to>
                <xdr:col>62</xdr:col>
                <xdr:colOff>152400</xdr:colOff>
                <xdr:row>11</xdr:row>
                <xdr:rowOff>723900</xdr:rowOff>
              </to>
            </anchor>
          </controlPr>
        </control>
      </mc:Choice>
    </mc:AlternateContent>
    <mc:AlternateContent xmlns:mc="http://schemas.openxmlformats.org/markup-compatibility/2006">
      <mc:Choice Requires="x14">
        <control shapeId="2055" r:id="rId16" name="Group Box 7">
          <controlPr defaultSize="0" autoFill="0" autoPict="0">
            <anchor moveWithCells="1">
              <from>
                <xdr:col>48</xdr:col>
                <xdr:colOff>85725</xdr:colOff>
                <xdr:row>10</xdr:row>
                <xdr:rowOff>428625</xdr:rowOff>
              </from>
              <to>
                <xdr:col>55</xdr:col>
                <xdr:colOff>0</xdr:colOff>
                <xdr:row>11</xdr:row>
                <xdr:rowOff>533400</xdr:rowOff>
              </to>
            </anchor>
          </controlPr>
        </control>
      </mc:Choice>
    </mc:AlternateContent>
    <mc:AlternateContent xmlns:mc="http://schemas.openxmlformats.org/markup-compatibility/2006">
      <mc:Choice Requires="x14">
        <control shapeId="2056" r:id="rId17" name="Group Box 8">
          <controlPr defaultSize="0" autoFill="0" autoPict="0">
            <anchor moveWithCells="1">
              <from>
                <xdr:col>55</xdr:col>
                <xdr:colOff>66675</xdr:colOff>
                <xdr:row>10</xdr:row>
                <xdr:rowOff>438150</xdr:rowOff>
              </from>
              <to>
                <xdr:col>61</xdr:col>
                <xdr:colOff>104775</xdr:colOff>
                <xdr:row>11</xdr:row>
                <xdr:rowOff>552450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89957-8019-4EEA-8D90-5F9E79EB38CD}">
  <sheetPr codeName="Sheet11">
    <pageSetUpPr fitToPage="1"/>
  </sheetPr>
  <dimension ref="A2:J34"/>
  <sheetViews>
    <sheetView view="pageBreakPreview" topLeftCell="A7" zoomScaleNormal="100" zoomScaleSheetLayoutView="100" workbookViewId="0">
      <selection activeCell="O32" sqref="O32"/>
    </sheetView>
  </sheetViews>
  <sheetFormatPr defaultColWidth="7.75" defaultRowHeight="14.25" x14ac:dyDescent="0.4"/>
  <cols>
    <col min="1" max="1" width="7.125" style="3" customWidth="1"/>
    <col min="2" max="16384" width="7.75" style="3"/>
  </cols>
  <sheetData>
    <row r="2" spans="1:9" ht="15.75" x14ac:dyDescent="0.4">
      <c r="A2" s="1" t="str">
        <f ca="1">INDIRECT("リリースノート!H3")&amp;"　御中"</f>
        <v>UMTC蘇州　御中</v>
      </c>
      <c r="B2" s="2"/>
      <c r="C2" s="2"/>
      <c r="D2" s="2"/>
      <c r="H2" s="4">
        <f ca="1">INDIRECT("リリースノート!H6")</f>
        <v>46010</v>
      </c>
      <c r="I2" s="4"/>
    </row>
    <row r="3" spans="1:9" ht="15.75" x14ac:dyDescent="0.4">
      <c r="A3" s="5"/>
      <c r="B3" s="5"/>
      <c r="H3" s="5" t="s">
        <v>0</v>
      </c>
      <c r="I3" s="5"/>
    </row>
    <row r="4" spans="1:9" ht="15.75" x14ac:dyDescent="0.4">
      <c r="H4" s="6" t="s">
        <v>1</v>
      </c>
      <c r="I4" s="6"/>
    </row>
    <row r="9" spans="1:9" ht="30" x14ac:dyDescent="0.4">
      <c r="D9" s="7" t="s">
        <v>2</v>
      </c>
    </row>
    <row r="13" spans="1:9" ht="15.75" x14ac:dyDescent="0.4">
      <c r="A13" s="5" t="s">
        <v>3</v>
      </c>
    </row>
    <row r="14" spans="1:9" ht="15.75" x14ac:dyDescent="0.4">
      <c r="A14" s="5" t="s">
        <v>4</v>
      </c>
    </row>
    <row r="15" spans="1:9" ht="15.75" x14ac:dyDescent="0.4">
      <c r="A15" s="5" t="s">
        <v>5</v>
      </c>
    </row>
    <row r="16" spans="1:9" ht="15.75" x14ac:dyDescent="0.4">
      <c r="A16" s="5" t="s">
        <v>6</v>
      </c>
    </row>
    <row r="17" spans="1:9" ht="15.75" x14ac:dyDescent="0.4">
      <c r="A17" s="5" t="s">
        <v>7</v>
      </c>
    </row>
    <row r="18" spans="1:9" ht="15.75" x14ac:dyDescent="0.4">
      <c r="A18" s="5"/>
    </row>
    <row r="20" spans="1:9" ht="25.5" customHeight="1" x14ac:dyDescent="0.4">
      <c r="A20" s="8" t="str">
        <f ca="1">"対象製品："&amp;INDIRECT("リリースノート!H4")</f>
        <v>対象製品：G2128</v>
      </c>
      <c r="B20" s="8"/>
      <c r="C20" s="8"/>
      <c r="D20" s="8"/>
      <c r="E20" s="8"/>
      <c r="F20" s="8"/>
      <c r="G20" s="8"/>
      <c r="H20" s="8"/>
      <c r="I20" s="8"/>
    </row>
    <row r="21" spans="1:9" ht="25.5" customHeight="1" x14ac:dyDescent="0.4">
      <c r="A21" s="8" t="str">
        <f ca="1">"対象台数："&amp;INDIRECT("リリースノート!H5")</f>
        <v>対象台数：</v>
      </c>
      <c r="B21" s="8"/>
      <c r="C21" s="8"/>
      <c r="D21" s="8"/>
      <c r="E21" s="8"/>
      <c r="F21" s="8"/>
      <c r="G21" s="8"/>
      <c r="H21" s="8"/>
      <c r="I21" s="8"/>
    </row>
    <row r="22" spans="1:9" ht="25.5" customHeight="1" x14ac:dyDescent="0.4">
      <c r="A22" s="9"/>
      <c r="B22" s="9"/>
      <c r="C22" s="9"/>
      <c r="D22" s="9"/>
      <c r="E22" s="9"/>
      <c r="F22" s="9"/>
      <c r="G22" s="9"/>
      <c r="H22" s="9"/>
      <c r="I22" s="9"/>
    </row>
    <row r="24" spans="1:9" ht="15.75" x14ac:dyDescent="0.4">
      <c r="A24" s="10" t="s">
        <v>8</v>
      </c>
    </row>
    <row r="25" spans="1:9" ht="15.75" x14ac:dyDescent="0.4">
      <c r="A25" s="10" t="s">
        <v>9</v>
      </c>
    </row>
    <row r="26" spans="1:9" ht="15.75" x14ac:dyDescent="0.4">
      <c r="A26" s="10" t="s">
        <v>10</v>
      </c>
    </row>
    <row r="28" spans="1:9" ht="15.75" x14ac:dyDescent="0.4">
      <c r="A28" s="10" t="s">
        <v>11</v>
      </c>
    </row>
    <row r="29" spans="1:9" ht="15.75" x14ac:dyDescent="0.4">
      <c r="A29" s="10" t="s">
        <v>12</v>
      </c>
    </row>
    <row r="30" spans="1:9" ht="15.75" x14ac:dyDescent="0.4">
      <c r="A30" s="5" t="s">
        <v>13</v>
      </c>
    </row>
    <row r="31" spans="1:9" ht="15.75" x14ac:dyDescent="0.4">
      <c r="A31" s="5" t="s">
        <v>14</v>
      </c>
    </row>
    <row r="34" spans="10:10" ht="15.75" x14ac:dyDescent="0.4">
      <c r="J34" s="11" t="s">
        <v>15</v>
      </c>
    </row>
  </sheetData>
  <mergeCells count="5">
    <mergeCell ref="A2:D2"/>
    <mergeCell ref="H2:I2"/>
    <mergeCell ref="H4:I4"/>
    <mergeCell ref="A20:I20"/>
    <mergeCell ref="A21:I21"/>
  </mergeCells>
  <phoneticPr fontId="2"/>
  <pageMargins left="0.74803149606299213" right="0.74803149606299213" top="0.98425196850393704" bottom="0.98425196850393704" header="0.51181102362204722" footer="0.51181102362204722"/>
  <pageSetup paperSize="9" scale="94"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2</vt:i4>
      </vt:variant>
    </vt:vector>
  </HeadingPairs>
  <TitlesOfParts>
    <vt:vector size="4" baseType="lpstr">
      <vt:lpstr>リリースノート</vt:lpstr>
      <vt:lpstr>変更連絡書</vt:lpstr>
      <vt:lpstr>リリースノート!Print_Area</vt:lpstr>
      <vt:lpstr>変更連絡書!Print_Area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Atsushi Suemitsu(JP)</dc:creator>
  <cp:lastModifiedBy>Atsushi Suemitsu(JP)</cp:lastModifiedBy>
  <dcterms:created xsi:type="dcterms:W3CDTF">2025-12-18T05:00:17Z</dcterms:created>
  <dcterms:modified xsi:type="dcterms:W3CDTF">2025-12-18T05:00:24Z</dcterms:modified>
</cp:coreProperties>
</file>